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ПАПКА\"/>
    </mc:Choice>
  </mc:AlternateContent>
  <bookViews>
    <workbookView xWindow="0" yWindow="0" windowWidth="38400" windowHeight="17850"/>
  </bookViews>
  <sheets>
    <sheet name="Лист1" sheetId="1" r:id="rId1"/>
    <sheet name="Лист2" sheetId="2" r:id="rId2"/>
  </sheets>
  <calcPr calcId="162913"/>
</workbook>
</file>

<file path=xl/calcChain.xml><?xml version="1.0" encoding="utf-8"?>
<calcChain xmlns="http://schemas.openxmlformats.org/spreadsheetml/2006/main">
  <c r="AU97" i="1" l="1"/>
  <c r="AU98" i="1"/>
  <c r="AU99" i="1"/>
  <c r="AU100" i="1"/>
  <c r="AU101" i="1"/>
  <c r="AU102" i="1"/>
  <c r="AU96" i="1"/>
  <c r="AL96" i="1"/>
  <c r="AL101" i="1"/>
  <c r="AL100" i="1"/>
  <c r="AL102" i="1"/>
  <c r="AL99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7" i="1"/>
  <c r="AL98" i="1"/>
  <c r="AL83" i="1"/>
  <c r="AT95" i="1"/>
  <c r="AU95" i="1" s="1"/>
  <c r="AT94" i="1"/>
  <c r="AU94" i="1" s="1"/>
  <c r="AT93" i="1"/>
  <c r="AU93" i="1" s="1"/>
  <c r="AU92" i="1"/>
  <c r="AT92" i="1"/>
  <c r="AT91" i="1"/>
  <c r="AU91" i="1" s="1"/>
  <c r="AT90" i="1"/>
  <c r="AU90" i="1" s="1"/>
  <c r="AT89" i="1"/>
  <c r="AU89" i="1" s="1"/>
  <c r="AT88" i="1"/>
  <c r="AU88" i="1" s="1"/>
  <c r="AL82" i="1"/>
  <c r="AT77" i="1"/>
  <c r="AU77" i="1" s="1"/>
  <c r="AL77" i="1"/>
  <c r="AT76" i="1"/>
  <c r="AU76" i="1" s="1"/>
  <c r="AL76" i="1"/>
  <c r="AT75" i="1"/>
  <c r="AU75" i="1" s="1"/>
  <c r="AL75" i="1"/>
  <c r="AT74" i="1"/>
  <c r="AU74" i="1" s="1"/>
  <c r="AL74" i="1"/>
  <c r="AT73" i="1"/>
  <c r="AU73" i="1" s="1"/>
  <c r="AL73" i="1"/>
  <c r="AT72" i="1"/>
  <c r="AU72" i="1" s="1"/>
  <c r="AL72" i="1"/>
  <c r="AT71" i="1"/>
  <c r="AU71" i="1" s="1"/>
  <c r="AL71" i="1"/>
  <c r="AT70" i="1"/>
  <c r="AU70" i="1" s="1"/>
  <c r="AL70" i="1"/>
  <c r="AT69" i="1"/>
  <c r="AU69" i="1" s="1"/>
  <c r="AL69" i="1"/>
  <c r="AT68" i="1"/>
  <c r="AU68" i="1" s="1"/>
  <c r="AL68" i="1"/>
  <c r="AT58" i="1"/>
  <c r="AU58" i="1" s="1"/>
  <c r="AL58" i="1"/>
  <c r="AT57" i="1"/>
  <c r="AU57" i="1" s="1"/>
  <c r="AL57" i="1"/>
  <c r="AT56" i="1"/>
  <c r="AU56" i="1" s="1"/>
  <c r="AL56" i="1"/>
  <c r="AT62" i="1"/>
  <c r="AU62" i="1" s="1"/>
  <c r="AL62" i="1"/>
  <c r="AT61" i="1"/>
  <c r="AU61" i="1" s="1"/>
  <c r="AL61" i="1"/>
  <c r="AT60" i="1"/>
  <c r="AU60" i="1" s="1"/>
  <c r="AL60" i="1"/>
  <c r="AT59" i="1"/>
  <c r="AU59" i="1" s="1"/>
  <c r="AL59" i="1"/>
  <c r="AT55" i="1"/>
  <c r="AU55" i="1" s="1"/>
  <c r="AL55" i="1"/>
  <c r="AT54" i="1"/>
  <c r="AU54" i="1" s="1"/>
  <c r="AL54" i="1"/>
  <c r="AT53" i="1"/>
  <c r="AU53" i="1" s="1"/>
  <c r="AL53" i="1"/>
  <c r="AL52" i="1"/>
  <c r="AL51" i="1"/>
  <c r="AL50" i="1"/>
  <c r="AL49" i="1"/>
  <c r="AL48" i="1"/>
  <c r="AL47" i="1"/>
  <c r="AT41" i="1"/>
  <c r="AU41" i="1" s="1"/>
  <c r="AL41" i="1"/>
  <c r="AT40" i="1"/>
  <c r="AU40" i="1" s="1"/>
  <c r="AL40" i="1"/>
  <c r="AT39" i="1"/>
  <c r="AU39" i="1" s="1"/>
  <c r="AL39" i="1"/>
  <c r="AT38" i="1"/>
  <c r="AU38" i="1" s="1"/>
  <c r="AL38" i="1"/>
  <c r="AT37" i="1"/>
  <c r="AU37" i="1" s="1"/>
  <c r="AL37" i="1"/>
  <c r="AT36" i="1"/>
  <c r="AU36" i="1" s="1"/>
  <c r="AL36" i="1"/>
  <c r="AL33" i="1"/>
  <c r="AT35" i="1"/>
  <c r="AU35" i="1" s="1"/>
  <c r="AL35" i="1"/>
  <c r="AL34" i="1"/>
  <c r="AL32" i="1"/>
  <c r="AL31" i="1"/>
  <c r="AL29" i="1"/>
  <c r="AL30" i="1"/>
  <c r="AT18" i="1"/>
  <c r="AU18" i="1" s="1"/>
  <c r="AL18" i="1"/>
  <c r="AT17" i="1"/>
  <c r="AU17" i="1" s="1"/>
  <c r="AL17" i="1"/>
  <c r="AT16" i="1"/>
  <c r="AU16" i="1" s="1"/>
  <c r="AL16" i="1"/>
  <c r="AT15" i="1"/>
  <c r="AU15" i="1" s="1"/>
  <c r="AL15" i="1"/>
  <c r="AT14" i="1"/>
  <c r="AU14" i="1" s="1"/>
  <c r="AL14" i="1"/>
  <c r="AT13" i="1"/>
  <c r="AU13" i="1" s="1"/>
  <c r="AL13" i="1"/>
  <c r="AT12" i="1"/>
  <c r="AU12" i="1" s="1"/>
  <c r="AL12" i="1"/>
  <c r="AL11" i="1"/>
</calcChain>
</file>

<file path=xl/sharedStrings.xml><?xml version="1.0" encoding="utf-8"?>
<sst xmlns="http://schemas.openxmlformats.org/spreadsheetml/2006/main" count="1413" uniqueCount="183">
  <si>
    <t>АСлужебные</t>
  </si>
  <si>
    <t>ВЗаказ и отгрузка</t>
  </si>
  <si>
    <t>ЕФакт (заявка клиента) · Автомобиль / агрегат</t>
  </si>
  <si>
    <t>КФакт (заявка клиента) · Позиция (факт)</t>
  </si>
  <si>
    <t>МНоменклатура</t>
  </si>
  <si>
    <t>НСклад и статус</t>
  </si>
  <si>
    <t>ОЦены и оплата · Себестоимость и оплата</t>
  </si>
  <si>
    <t>РЦены и оплата · Продажа</t>
  </si>
  <si>
    <t>СПоступление от поставщика</t>
  </si>
  <si>
    <t>ТКомментарий</t>
  </si>
  <si>
    <t>А1поле выбора ячеек</t>
  </si>
  <si>
    <t>А2№ п/п</t>
  </si>
  <si>
    <t>А3Документ подписан оригинал</t>
  </si>
  <si>
    <t>В1Дата отгрузки</t>
  </si>
  <si>
    <t>В2Номер отгрузки</t>
  </si>
  <si>
    <t>В3Дата заказа*</t>
  </si>
  <si>
    <t>В4№ заказ внутренний наш</t>
  </si>
  <si>
    <t>В5№ заказ клиент*</t>
  </si>
  <si>
    <t>В6Заказчик</t>
  </si>
  <si>
    <t>В7Договор с заказчиком</t>
  </si>
  <si>
    <t>В8Вид услуги</t>
  </si>
  <si>
    <t>Е1Марка</t>
  </si>
  <si>
    <t>Е2Модель</t>
  </si>
  <si>
    <t>Е3Агрегат✱</t>
  </si>
  <si>
    <t>Е4Госномер✱</t>
  </si>
  <si>
    <t>Е5№ Шасси</t>
  </si>
  <si>
    <t>Е6VIN (ХТС)</t>
  </si>
  <si>
    <t>Е7Двигатель</t>
  </si>
  <si>
    <t>К1Срочность (ФАКТ) / комментарий заказчика</t>
  </si>
  <si>
    <t>К2Машина ГРЗ (ФАКТ)</t>
  </si>
  <si>
    <t>К3Территория (ФАКТ)</t>
  </si>
  <si>
    <t>К4Наименование (ФАКТ)</t>
  </si>
  <si>
    <t>К5Артикул (ФАКТ)</t>
  </si>
  <si>
    <t>К6Кол-во (ФАКТ)</t>
  </si>
  <si>
    <t>К7Ед. изм. (ФАКТ)</t>
  </si>
  <si>
    <t>М1Наименование✱</t>
  </si>
  <si>
    <t>М2Артикул✱</t>
  </si>
  <si>
    <t>М3Код А-А / код поставщика✱</t>
  </si>
  <si>
    <t>М4Ед. изм.</t>
  </si>
  <si>
    <t>Н0Кол-во*</t>
  </si>
  <si>
    <t>Н1Кол-во в наличии на складе</t>
  </si>
  <si>
    <t>Н2Кол-во в резерве</t>
  </si>
  <si>
    <t>Н3Кол-во заказанного в пути / свободное</t>
  </si>
  <si>
    <t>Н4№ партии ФИФО / выбор партии</t>
  </si>
  <si>
    <t>Н5Статус заявки*</t>
  </si>
  <si>
    <t>Н6Ячейка склада (на склад)</t>
  </si>
  <si>
    <t>О1Цена (себес.)</t>
  </si>
  <si>
    <t>О2Сумма (себес.)</t>
  </si>
  <si>
    <t>О3Форма оплаты</t>
  </si>
  <si>
    <t>О4РРЦ</t>
  </si>
  <si>
    <t>О5Оплачено (счёт, оплата, постоплата)</t>
  </si>
  <si>
    <t>О6Счёт №</t>
  </si>
  <si>
    <t>О7Дата счёта</t>
  </si>
  <si>
    <t>Р0Кол-во норма час товар для клиента</t>
  </si>
  <si>
    <t>Р1Коэфф</t>
  </si>
  <si>
    <t>Р2Цена продажи</t>
  </si>
  <si>
    <t>Р3Сумма продажи</t>
  </si>
  <si>
    <t>С1Поставщик*</t>
  </si>
  <si>
    <t>С2Дата получения</t>
  </si>
  <si>
    <t>С3Дата УПД</t>
  </si>
  <si>
    <t>С4№ УПД</t>
  </si>
  <si>
    <t>С5Территория отгрузки поставщиком</t>
  </si>
  <si>
    <t>С6Дата заказа поставщику</t>
  </si>
  <si>
    <t>С7Срок поставки*</t>
  </si>
  <si>
    <t>Т1Комментарий</t>
  </si>
  <si>
    <t>Т2Комментарий 2</t>
  </si>
  <si>
    <t>—ООО «СтройТранс»ИП КетчерскаяООО «АвтоЛайн»Частный клиент</t>
  </si>
  <si>
    <t>—Д-22/2026Д-23/2026 (сервис)</t>
  </si>
  <si>
    <t>—РемонтУслугаИнструментЗапчасть</t>
  </si>
  <si>
    <t>—КАМАЗГАЗМАЗ</t>
  </si>
  <si>
    <t>—651153302 Бизнес541155440</t>
  </si>
  <si>
    <t>—Двигатель КАМАЗ 740.30-260Двигатель УМЗ-4216КПП ZF 16S151Мост средний КАМАЗ 53212Генератор 5122.3771</t>
  </si>
  <si>
    <t>—А590СЕ197М141МН777Е427ЕВ777О777ОО150</t>
  </si>
  <si>
    <t>—Ш-65115-0012345Ш-330200-0076543Ш-54115-0098765Ш-5440-0011223</t>
  </si>
  <si>
    <t>—XTC651150R1234567X96330200R7654321XTC541150R9876543Y3M544000R0011223</t>
  </si>
  <si>
    <t>—740.30-260УМЗ-4216740.51-320ЯМЗ-6582</t>
  </si>
  <si>
    <t>—Фонарь задний КАМАЗ 24V левый ТЕХАВТОСВЕТКрышка КАМАЗ редуктора среднего мостаШкив ГАЗ-3302 Бизнес дв.УМЗ-4216Масло моторное 10W-40, 20 лЗамена колодок (норма-час)</t>
  </si>
  <si>
    <t>—7452-262 / 7472.3716-0454115-25022094216.1005074M-10W40-20SRV-BRAKE</t>
  </si>
  <si>
    <t>—622563633603640118700211900010</t>
  </si>
  <si>
    <t>—шткомпллкгмн/ч</t>
  </si>
  <si>
    <t>—Партия №04-2026Партия №01-2026</t>
  </si>
  <si>
    <t>—РезервированиеНе опознанОтгружено</t>
  </si>
  <si>
    <t>—Безнал</t>
  </si>
  <si>
    <t>—Оплачено</t>
  </si>
  <si>
    <t>—АЛЬЯНС</t>
  </si>
  <si>
    <t>—</t>
  </si>
  <si>
    <t>—Д-05/2026</t>
  </si>
  <si>
    <t>АВД</t>
  </si>
  <si>
    <t>товар</t>
  </si>
  <si>
    <t>срочно</t>
  </si>
  <si>
    <t>М142МН777</t>
  </si>
  <si>
    <t>ДЭУ-2</t>
  </si>
  <si>
    <t>Антифриз красный -40C 210кг/200л PILOTS</t>
  </si>
  <si>
    <t>бочка</t>
  </si>
  <si>
    <t>Антифриз P900RM12</t>
  </si>
  <si>
    <t>P900RM12</t>
  </si>
  <si>
    <t>------</t>
  </si>
  <si>
    <t>литр</t>
  </si>
  <si>
    <t>новая</t>
  </si>
  <si>
    <t>Большой склад</t>
  </si>
  <si>
    <t>Титан авто</t>
  </si>
  <si>
    <t>-----</t>
  </si>
  <si>
    <t xml:space="preserve">Это когда товар на складе </t>
  </si>
  <si>
    <t>Поиск + подбор номенклатуры
Узел
M2</t>
  </si>
  <si>
    <t>Резерв</t>
  </si>
  <si>
    <t>Задание на комплектацию</t>
  </si>
  <si>
    <t xml:space="preserve">
К3</t>
  </si>
  <si>
    <t>комплектация сборочный лист</t>
  </si>
  <si>
    <t>Уведомление о готовности</t>
  </si>
  <si>
    <t>М11</t>
  </si>
  <si>
    <t>Отгрузочная ведомость</t>
  </si>
  <si>
    <t>М12</t>
  </si>
  <si>
    <t>Отгрузка клиенту</t>
  </si>
  <si>
    <t xml:space="preserve">
К5 =N2A</t>
  </si>
  <si>
    <t>Контоль документов</t>
  </si>
  <si>
    <t>м15 к7</t>
  </si>
  <si>
    <t xml:space="preserve">не меняется </t>
  </si>
  <si>
    <t xml:space="preserve"> Ввели на этом шаге</t>
  </si>
  <si>
    <t>выставляется автоматом</t>
  </si>
  <si>
    <t>Основной: закупка → отгрузка</t>
  </si>
  <si>
    <t>Заказ поставщику</t>
  </si>
  <si>
    <t>да</t>
  </si>
  <si>
    <t>М2+М4+Р1</t>
  </si>
  <si>
    <t>M7 +Р2 не обязательный</t>
  </si>
  <si>
    <t>К1 + проверяется наименование и обьем тары в случеа не соответсвия создается новая позиция или вноситься изменения в действующюю, если приехало 100 аместо 200 то строка дробится (значит что будет еще довоз товра поставщиком самостоятельно</t>
  </si>
  <si>
    <t>проверяется</t>
  </si>
  <si>
    <t>большой склад</t>
  </si>
  <si>
    <t>К2</t>
  </si>
  <si>
    <t>Приемка упд</t>
  </si>
  <si>
    <t>размещение по складам</t>
  </si>
  <si>
    <t>Уведомление о приходе</t>
  </si>
  <si>
    <t>М3 резер автоматом пропустили</t>
  </si>
  <si>
    <t>м3</t>
  </si>
  <si>
    <t>м8</t>
  </si>
  <si>
    <t>м9</t>
  </si>
  <si>
    <t>к3</t>
  </si>
  <si>
    <t>м11</t>
  </si>
  <si>
    <t>м12</t>
  </si>
  <si>
    <t>Контроль комплектации</t>
  </si>
  <si>
    <t>м10</t>
  </si>
  <si>
    <t xml:space="preserve">Контроль комплектации </t>
  </si>
  <si>
    <t>Возрат товра</t>
  </si>
  <si>
    <t>Отказ клиента при получении</t>
  </si>
  <si>
    <t>N3</t>
  </si>
  <si>
    <t>Приёмка / подготовка возврата на складе</t>
  </si>
  <si>
    <t>K6 по сути возрат нужно делать</t>
  </si>
  <si>
    <t>Выдача в ремзону</t>
  </si>
  <si>
    <t>Поступление машины в ремонт</t>
  </si>
  <si>
    <t>G3</t>
  </si>
  <si>
    <t>антифриз</t>
  </si>
  <si>
    <t>л</t>
  </si>
  <si>
    <t>200/182</t>
  </si>
  <si>
    <t>200/183</t>
  </si>
  <si>
    <t>200/184</t>
  </si>
  <si>
    <t>200/185</t>
  </si>
  <si>
    <t>200/186</t>
  </si>
  <si>
    <t>200/187</t>
  </si>
  <si>
    <t>200/188</t>
  </si>
  <si>
    <t>200/189</t>
  </si>
  <si>
    <t>200/190</t>
  </si>
  <si>
    <t>200/191</t>
  </si>
  <si>
    <t>200/192</t>
  </si>
  <si>
    <t>200/193</t>
  </si>
  <si>
    <t>200/194</t>
  </si>
  <si>
    <t>ремонт</t>
  </si>
  <si>
    <t>G4+G5+ G9</t>
  </si>
  <si>
    <t>С/У ДВС</t>
  </si>
  <si>
    <t>снять поставить двигатель</t>
  </si>
  <si>
    <t>усл</t>
  </si>
  <si>
    <t>н/ч</t>
  </si>
  <si>
    <t>в работе</t>
  </si>
  <si>
    <t>Испытания</t>
  </si>
  <si>
    <t>Настройка ДВС</t>
  </si>
  <si>
    <t>нал</t>
  </si>
  <si>
    <t>Николай</t>
  </si>
  <si>
    <t>Алексей</t>
  </si>
  <si>
    <t>дефектовка</t>
  </si>
  <si>
    <t>Дефектовка</t>
  </si>
  <si>
    <t>G4+G5+ G9 р2=прайс привязанный к машине</t>
  </si>
  <si>
    <t>G4+G5+ G9 О2= прайс к машине</t>
  </si>
  <si>
    <t>Печать комплекта документов и выдача авто</t>
  </si>
  <si>
    <t>для учета себеса и зп</t>
  </si>
  <si>
    <t>продажа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</si>
</sst>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7"/>
      <color rgb="FF1F2937"/>
      <name val="Segoe U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00FFFF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00FF00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4" tint="0.39997558519241921"/>
        <bgColor rgb="FFCCCCCC"/>
      </patternFill>
    </fill>
    <fill>
      <patternFill patternType="solid">
        <fgColor rgb="FF92D050"/>
        <bgColor rgb="FFCCCCCC"/>
      </patternFill>
    </fill>
    <fill>
      <patternFill patternType="solid">
        <fgColor rgb="FF92D05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rgb="FF00FF00"/>
      </patternFill>
    </fill>
    <fill>
      <patternFill patternType="solid">
        <fgColor rgb="FFFFFF00"/>
        <bgColor rgb="FFFF9900"/>
      </patternFill>
    </fill>
    <fill>
      <patternFill patternType="solid">
        <fgColor rgb="FF92D050"/>
        <bgColor rgb="FF00FF00"/>
      </patternFill>
    </fill>
    <fill>
      <patternFill patternType="solid">
        <fgColor rgb="FF92D050"/>
        <bgColor rgb="FF00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9" fontId="1" fillId="5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2" borderId="1" xfId="0" applyNumberFormat="1" applyFont="1" applyFill="1" applyBorder="1"/>
    <xf numFmtId="0" fontId="1" fillId="0" borderId="0" xfId="0" applyFont="1" applyAlignment="1"/>
    <xf numFmtId="0" fontId="1" fillId="4" borderId="1" xfId="0" applyFont="1" applyFill="1" applyBorder="1"/>
    <xf numFmtId="0" fontId="1" fillId="3" borderId="0" xfId="0" applyFont="1" applyFill="1"/>
    <xf numFmtId="0" fontId="1" fillId="6" borderId="0" xfId="0" applyFont="1" applyFill="1"/>
    <xf numFmtId="0" fontId="2" fillId="7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9" fontId="1" fillId="5" borderId="3" xfId="0" applyNumberFormat="1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4" fillId="0" borderId="0" xfId="0" applyFont="1" applyAlignment="1"/>
    <xf numFmtId="164" fontId="1" fillId="14" borderId="3" xfId="0" applyNumberFormat="1" applyFont="1" applyFill="1" applyBorder="1" applyAlignment="1">
      <alignment vertical="center"/>
    </xf>
    <xf numFmtId="0" fontId="1" fillId="15" borderId="3" xfId="0" applyFont="1" applyFill="1" applyBorder="1" applyAlignment="1">
      <alignment vertical="center"/>
    </xf>
    <xf numFmtId="0" fontId="1" fillId="14" borderId="3" xfId="0" applyFont="1" applyFill="1" applyBorder="1" applyAlignment="1">
      <alignment vertical="center"/>
    </xf>
    <xf numFmtId="0" fontId="1" fillId="16" borderId="3" xfId="0" applyFont="1" applyFill="1" applyBorder="1" applyAlignment="1">
      <alignment vertical="center"/>
    </xf>
    <xf numFmtId="0" fontId="1" fillId="17" borderId="3" xfId="0" applyFont="1" applyFill="1" applyBorder="1" applyAlignment="1">
      <alignment vertical="center"/>
    </xf>
    <xf numFmtId="0" fontId="1" fillId="18" borderId="3" xfId="0" applyFont="1" applyFill="1" applyBorder="1" applyAlignment="1">
      <alignment vertical="center"/>
    </xf>
    <xf numFmtId="0" fontId="1" fillId="19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9" fontId="1" fillId="19" borderId="3" xfId="0" applyNumberFormat="1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textRotation="90"/>
    </xf>
    <xf numFmtId="0" fontId="1" fillId="13" borderId="2" xfId="0" applyFont="1" applyFill="1" applyBorder="1" applyAlignment="1">
      <alignment horizontal="center" textRotation="90"/>
    </xf>
    <xf numFmtId="0" fontId="1" fillId="11" borderId="2" xfId="0" applyFont="1" applyFill="1" applyBorder="1" applyAlignment="1">
      <alignment horizontal="center" textRotation="90"/>
    </xf>
    <xf numFmtId="0" fontId="1" fillId="12" borderId="2" xfId="0" applyFont="1" applyFill="1" applyBorder="1" applyAlignment="1">
      <alignment horizontal="center" textRotation="90"/>
    </xf>
    <xf numFmtId="0" fontId="0" fillId="10" borderId="2" xfId="0" applyFont="1" applyFill="1" applyBorder="1" applyAlignment="1">
      <alignment horizontal="center" textRotation="90"/>
    </xf>
    <xf numFmtId="0" fontId="2" fillId="21" borderId="3" xfId="0" applyFont="1" applyFill="1" applyBorder="1" applyAlignment="1">
      <alignment vertical="center"/>
    </xf>
    <xf numFmtId="0" fontId="1" fillId="21" borderId="3" xfId="0" applyFont="1" applyFill="1" applyBorder="1" applyAlignment="1">
      <alignment vertical="center"/>
    </xf>
    <xf numFmtId="14" fontId="1" fillId="21" borderId="3" xfId="0" applyNumberFormat="1" applyFont="1" applyFill="1" applyBorder="1" applyAlignment="1">
      <alignment vertical="center"/>
    </xf>
    <xf numFmtId="4" fontId="1" fillId="19" borderId="3" xfId="0" applyNumberFormat="1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4" fontId="1" fillId="21" borderId="3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4" fontId="1" fillId="17" borderId="3" xfId="0" applyNumberFormat="1" applyFont="1" applyFill="1" applyBorder="1" applyAlignment="1">
      <alignment vertical="center"/>
    </xf>
    <xf numFmtId="4" fontId="2" fillId="17" borderId="1" xfId="0" applyNumberFormat="1" applyFont="1" applyFill="1" applyBorder="1" applyAlignment="1">
      <alignment vertical="center"/>
    </xf>
    <xf numFmtId="9" fontId="1" fillId="17" borderId="3" xfId="0" applyNumberFormat="1" applyFont="1" applyFill="1" applyBorder="1" applyAlignment="1">
      <alignment vertical="center"/>
    </xf>
    <xf numFmtId="4" fontId="1" fillId="22" borderId="3" xfId="0" applyNumberFormat="1" applyFont="1" applyFill="1" applyBorder="1" applyAlignment="1">
      <alignment vertical="center"/>
    </xf>
    <xf numFmtId="0" fontId="1" fillId="22" borderId="3" xfId="0" applyFont="1" applyFill="1" applyBorder="1" applyAlignment="1">
      <alignment vertical="center"/>
    </xf>
    <xf numFmtId="14" fontId="1" fillId="22" borderId="3" xfId="0" applyNumberFormat="1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22" borderId="3" xfId="0" applyFont="1" applyFill="1" applyBorder="1" applyAlignment="1">
      <alignment vertical="center"/>
    </xf>
    <xf numFmtId="164" fontId="1" fillId="20" borderId="3" xfId="0" applyNumberFormat="1" applyFont="1" applyFill="1" applyBorder="1" applyAlignment="1">
      <alignment vertical="center"/>
    </xf>
    <xf numFmtId="0" fontId="1" fillId="20" borderId="3" xfId="0" applyFont="1" applyFill="1" applyBorder="1" applyAlignment="1">
      <alignment vertical="center"/>
    </xf>
    <xf numFmtId="0" fontId="0" fillId="9" borderId="0" xfId="0" applyFont="1" applyFill="1" applyAlignment="1"/>
    <xf numFmtId="0" fontId="3" fillId="0" borderId="0" xfId="0" applyFont="1" applyAlignment="1"/>
    <xf numFmtId="0" fontId="1" fillId="23" borderId="3" xfId="0" applyFont="1" applyFill="1" applyBorder="1" applyAlignment="1">
      <alignment vertical="center"/>
    </xf>
    <xf numFmtId="164" fontId="1" fillId="15" borderId="3" xfId="0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2" fillId="24" borderId="3" xfId="0" applyFont="1" applyFill="1" applyBorder="1" applyAlignment="1">
      <alignment vertical="center"/>
    </xf>
    <xf numFmtId="0" fontId="2" fillId="17" borderId="3" xfId="0" applyFont="1" applyFill="1" applyBorder="1" applyAlignment="1">
      <alignment vertical="center"/>
    </xf>
    <xf numFmtId="0" fontId="1" fillId="21" borderId="1" xfId="0" applyFont="1" applyFill="1" applyBorder="1" applyAlignment="1">
      <alignment vertical="center"/>
    </xf>
    <xf numFmtId="0" fontId="1" fillId="25" borderId="3" xfId="0" applyFont="1" applyFill="1" applyBorder="1" applyAlignment="1">
      <alignment vertical="center"/>
    </xf>
    <xf numFmtId="164" fontId="1" fillId="21" borderId="3" xfId="0" applyNumberFormat="1" applyFont="1" applyFill="1" applyBorder="1" applyAlignment="1">
      <alignment vertical="center"/>
    </xf>
    <xf numFmtId="0" fontId="2" fillId="14" borderId="3" xfId="0" applyFont="1" applyFill="1" applyBorder="1" applyAlignment="1">
      <alignment vertical="center"/>
    </xf>
    <xf numFmtId="0" fontId="2" fillId="26" borderId="3" xfId="0" applyFont="1" applyFill="1" applyBorder="1" applyAlignment="1">
      <alignment vertical="center"/>
    </xf>
    <xf numFmtId="0" fontId="1" fillId="26" borderId="3" xfId="0" applyFont="1" applyFill="1" applyBorder="1" applyAlignment="1">
      <alignment vertical="center"/>
    </xf>
    <xf numFmtId="0" fontId="2" fillId="25" borderId="3" xfId="0" applyFont="1" applyFill="1" applyBorder="1" applyAlignment="1">
      <alignment vertical="center"/>
    </xf>
    <xf numFmtId="4" fontId="2" fillId="19" borderId="1" xfId="0" applyNumberFormat="1" applyFont="1" applyFill="1" applyBorder="1" applyAlignment="1">
      <alignment vertical="center"/>
    </xf>
    <xf numFmtId="9" fontId="2" fillId="19" borderId="3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14" borderId="4" xfId="0" applyNumberFormat="1" applyFont="1" applyFill="1" applyBorder="1" applyAlignment="1">
      <alignment vertical="center"/>
    </xf>
    <xf numFmtId="0" fontId="1" fillId="15" borderId="4" xfId="0" applyFont="1" applyFill="1" applyBorder="1" applyAlignment="1">
      <alignment vertical="center"/>
    </xf>
    <xf numFmtId="0" fontId="1" fillId="14" borderId="4" xfId="0" applyFont="1" applyFill="1" applyBorder="1" applyAlignment="1">
      <alignment vertical="center"/>
    </xf>
    <xf numFmtId="0" fontId="1" fillId="16" borderId="4" xfId="0" applyFont="1" applyFill="1" applyBorder="1" applyAlignment="1">
      <alignment vertical="center"/>
    </xf>
    <xf numFmtId="0" fontId="1" fillId="22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1" fillId="26" borderId="4" xfId="0" applyFont="1" applyFill="1" applyBorder="1" applyAlignment="1">
      <alignment vertical="center"/>
    </xf>
    <xf numFmtId="0" fontId="2" fillId="25" borderId="4" xfId="0" applyFont="1" applyFill="1" applyBorder="1" applyAlignment="1">
      <alignment vertical="center"/>
    </xf>
    <xf numFmtId="0" fontId="1" fillId="25" borderId="4" xfId="0" applyFont="1" applyFill="1" applyBorder="1" applyAlignment="1">
      <alignment vertical="center"/>
    </xf>
    <xf numFmtId="0" fontId="1" fillId="19" borderId="4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1" fillId="17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4" fontId="1" fillId="19" borderId="4" xfId="0" applyNumberFormat="1" applyFont="1" applyFill="1" applyBorder="1" applyAlignment="1">
      <alignment vertical="center"/>
    </xf>
    <xf numFmtId="4" fontId="2" fillId="19" borderId="5" xfId="0" applyNumberFormat="1" applyFont="1" applyFill="1" applyBorder="1" applyAlignment="1">
      <alignment vertical="center"/>
    </xf>
    <xf numFmtId="9" fontId="2" fillId="19" borderId="4" xfId="0" applyNumberFormat="1" applyFont="1" applyFill="1" applyBorder="1" applyAlignment="1">
      <alignment vertical="center"/>
    </xf>
    <xf numFmtId="4" fontId="1" fillId="22" borderId="4" xfId="0" applyNumberFormat="1" applyFont="1" applyFill="1" applyBorder="1" applyAlignment="1">
      <alignment vertical="center"/>
    </xf>
    <xf numFmtId="0" fontId="2" fillId="22" borderId="4" xfId="0" applyFont="1" applyFill="1" applyBorder="1" applyAlignment="1">
      <alignment vertical="center"/>
    </xf>
    <xf numFmtId="14" fontId="1" fillId="22" borderId="4" xfId="0" applyNumberFormat="1" applyFont="1" applyFill="1" applyBorder="1" applyAlignment="1">
      <alignment vertical="center"/>
    </xf>
    <xf numFmtId="0" fontId="1" fillId="21" borderId="4" xfId="0" applyFont="1" applyFill="1" applyBorder="1" applyAlignment="1">
      <alignment vertical="center"/>
    </xf>
    <xf numFmtId="4" fontId="1" fillId="21" borderId="4" xfId="0" applyNumberFormat="1" applyFont="1" applyFill="1" applyBorder="1" applyAlignment="1">
      <alignment vertical="center"/>
    </xf>
    <xf numFmtId="0" fontId="2" fillId="20" borderId="5" xfId="0" applyFont="1" applyFill="1" applyBorder="1" applyAlignment="1">
      <alignment vertical="center"/>
    </xf>
    <xf numFmtId="164" fontId="1" fillId="15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164" fontId="1" fillId="3" borderId="4" xfId="0" applyNumberFormat="1" applyFont="1" applyFill="1" applyBorder="1" applyAlignment="1">
      <alignment vertical="center"/>
    </xf>
    <xf numFmtId="14" fontId="1" fillId="21" borderId="4" xfId="0" applyNumberFormat="1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0" fillId="0" borderId="2" xfId="0" applyFont="1" applyBorder="1" applyAlignment="1"/>
    <xf numFmtId="0" fontId="0" fillId="21" borderId="2" xfId="0" applyFont="1" applyFill="1" applyBorder="1" applyAlignment="1"/>
    <xf numFmtId="0" fontId="3" fillId="0" borderId="2" xfId="0" applyFont="1" applyBorder="1" applyAlignment="1"/>
    <xf numFmtId="0" fontId="1" fillId="7" borderId="3" xfId="0" applyFont="1" applyFill="1" applyBorder="1" applyAlignment="1">
      <alignment vertical="center"/>
    </xf>
    <xf numFmtId="164" fontId="1" fillId="7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164" fontId="1" fillId="8" borderId="3" xfId="0" applyNumberFormat="1" applyFont="1" applyFill="1" applyBorder="1" applyAlignment="1">
      <alignment vertical="center"/>
    </xf>
  </cellXfs>
  <cellStyles count="1">
    <cellStyle name="Обычный" xfId="0" builtinId="0"/>
  </cellStyles>
  <dxfs count="6">
    <dxf>
      <border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Лист1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Таблица1" displayName="Таблица1" ref="A10:BD18" headerRowDxfId="1" headerRowBorderDxfId="0">
  <tableColumns count="56">
    <tableColumn id="1" name="А1поле выбора ячеек"/>
    <tableColumn id="2" name="А2№ п/п"/>
    <tableColumn id="3" name="А3Документ подписан оригинал"/>
    <tableColumn id="4" name="В1Дата отгрузки"/>
    <tableColumn id="5" name="В2Номер отгрузки"/>
    <tableColumn id="6" name="В3Дата заказа*"/>
    <tableColumn id="7" name="В4№ заказ внутренний наш"/>
    <tableColumn id="8" name="В5№ заказ клиент*"/>
    <tableColumn id="9" name="В6Заказчик"/>
    <tableColumn id="10" name="В7Договор с заказчиком"/>
    <tableColumn id="11" name="В8Вид услуги"/>
    <tableColumn id="12" name="Е1Марка"/>
    <tableColumn id="13" name="Е2Модель"/>
    <tableColumn id="14" name="Е3Агрегат✱"/>
    <tableColumn id="15" name="Е4Госномер✱"/>
    <tableColumn id="16" name="Е5№ Шасси"/>
    <tableColumn id="17" name="Е6VIN (ХТС)"/>
    <tableColumn id="18" name="Е7Двигатель"/>
    <tableColumn id="19" name="К1Срочность (ФАКТ) / комментарий заказчика"/>
    <tableColumn id="20" name="К2Машина ГРЗ (ФАКТ)"/>
    <tableColumn id="21" name="К3Территория (ФАКТ)"/>
    <tableColumn id="22" name="К4Наименование (ФАКТ)"/>
    <tableColumn id="23" name="К5Артикул (ФАКТ)"/>
    <tableColumn id="24" name="К6Кол-во (ФАКТ)"/>
    <tableColumn id="25" name="К7Ед. изм. (ФАКТ)"/>
    <tableColumn id="26" name="М1Наименование✱"/>
    <tableColumn id="27" name="М2Артикул✱"/>
    <tableColumn id="28" name="М3Код А-А / код поставщика✱"/>
    <tableColumn id="29" name="М4Ед. изм."/>
    <tableColumn id="30" name="Н0Кол-во*"/>
    <tableColumn id="31" name="Н1Кол-во в наличии на складе"/>
    <tableColumn id="32" name="Н2Кол-во в резерве"/>
    <tableColumn id="33" name="Н3Кол-во заказанного в пути / свободное"/>
    <tableColumn id="34" name="Н4№ партии ФИФО / выбор партии"/>
    <tableColumn id="35" name="Н5Статус заявки*"/>
    <tableColumn id="36" name="Н6Ячейка склада (на склад)"/>
    <tableColumn id="37" name="О1Цена (себес.)"/>
    <tableColumn id="38" name="О2Сумма (себес.)"/>
    <tableColumn id="39" name="О3Форма оплаты"/>
    <tableColumn id="40" name="О4РРЦ"/>
    <tableColumn id="41" name="О5Оплачено (счёт, оплата, постоплата)"/>
    <tableColumn id="42" name="О6Счёт №"/>
    <tableColumn id="43" name="О7Дата счёта"/>
    <tableColumn id="44" name="Р0Кол-во норма час товар для клиента"/>
    <tableColumn id="45" name="Р1Коэфф"/>
    <tableColumn id="46" name="Р2Цена продажи"/>
    <tableColumn id="47" name="Р3Сумма продажи"/>
    <tableColumn id="48" name="С1Поставщик*"/>
    <tableColumn id="49" name="С2Дата получения"/>
    <tableColumn id="50" name="С3Дата УПД"/>
    <tableColumn id="51" name="С4№ УПД"/>
    <tableColumn id="52" name="С5Территория отгрузки поставщиком"/>
    <tableColumn id="53" name="С6Дата заказа поставщику"/>
    <tableColumn id="54" name="С7Срок поставки*"/>
    <tableColumn id="55" name="Т1Комментарий"/>
    <tableColumn id="56" name="Т2Комментарий 2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0:BD104"/>
  <sheetViews>
    <sheetView tabSelected="1" topLeftCell="A61" zoomScale="96" zoomScaleNormal="96" workbookViewId="0">
      <selection activeCell="AQ106" sqref="AQ106"/>
    </sheetView>
  </sheetViews>
  <sheetFormatPr defaultColWidth="12.6328125" defaultRowHeight="12.5" x14ac:dyDescent="0.25"/>
  <cols>
    <col min="1" max="3" width="3.08984375" bestFit="1" customWidth="1"/>
    <col min="4" max="4" width="10.08984375" bestFit="1" customWidth="1"/>
    <col min="5" max="5" width="3.08984375" bestFit="1" customWidth="1"/>
    <col min="6" max="6" width="10.08984375" bestFit="1" customWidth="1"/>
    <col min="7" max="7" width="3.08984375" bestFit="1" customWidth="1"/>
    <col min="8" max="8" width="4" bestFit="1" customWidth="1"/>
    <col min="9" max="9" width="4.54296875" bestFit="1" customWidth="1"/>
    <col min="10" max="10" width="4" bestFit="1" customWidth="1"/>
    <col min="11" max="11" width="5.6328125" bestFit="1" customWidth="1"/>
    <col min="12" max="18" width="3.08984375" bestFit="1" customWidth="1"/>
    <col min="19" max="19" width="6.81640625" bestFit="1" customWidth="1"/>
    <col min="20" max="20" width="11.1796875" bestFit="1" customWidth="1"/>
    <col min="21" max="21" width="6.1796875" bestFit="1" customWidth="1"/>
    <col min="22" max="22" width="38.1796875" bestFit="1" customWidth="1"/>
    <col min="23" max="23" width="5" bestFit="1" customWidth="1"/>
    <col min="24" max="24" width="3.08984375" bestFit="1" customWidth="1"/>
    <col min="25" max="25" width="5.54296875" bestFit="1" customWidth="1"/>
    <col min="26" max="26" width="18.90625" bestFit="1" customWidth="1"/>
    <col min="27" max="27" width="10" bestFit="1" customWidth="1"/>
    <col min="28" max="28" width="4.6328125" bestFit="1" customWidth="1"/>
    <col min="29" max="29" width="4.54296875" bestFit="1" customWidth="1"/>
    <col min="30" max="31" width="4" bestFit="1" customWidth="1"/>
    <col min="32" max="32" width="3.08984375" bestFit="1" customWidth="1"/>
    <col min="33" max="33" width="7.54296875" bestFit="1" customWidth="1"/>
    <col min="34" max="34" width="3.08984375" bestFit="1" customWidth="1"/>
    <col min="35" max="35" width="28.453125" bestFit="1" customWidth="1"/>
    <col min="36" max="36" width="13.81640625" bestFit="1" customWidth="1"/>
    <col min="37" max="37" width="6.54296875" bestFit="1" customWidth="1"/>
    <col min="38" max="38" width="9.08984375" bestFit="1" customWidth="1"/>
    <col min="39" max="39" width="4.54296875" bestFit="1" customWidth="1"/>
    <col min="40" max="40" width="8.08984375" bestFit="1" customWidth="1"/>
    <col min="41" max="42" width="3.08984375" bestFit="1" customWidth="1"/>
    <col min="43" max="43" width="10.08984375" bestFit="1" customWidth="1"/>
    <col min="44" max="44" width="3.08984375" bestFit="1" customWidth="1"/>
    <col min="45" max="45" width="4" bestFit="1" customWidth="1"/>
    <col min="46" max="46" width="8.08984375" bestFit="1" customWidth="1"/>
    <col min="47" max="47" width="10.08984375" bestFit="1" customWidth="1"/>
    <col min="48" max="48" width="9.90625" bestFit="1" customWidth="1"/>
    <col min="49" max="50" width="10.08984375" bestFit="1" customWidth="1"/>
    <col min="51" max="51" width="5" bestFit="1" customWidth="1"/>
    <col min="52" max="52" width="4" bestFit="1" customWidth="1"/>
    <col min="53" max="54" width="10.08984375" bestFit="1" customWidth="1"/>
    <col min="55" max="55" width="24" bestFit="1" customWidth="1"/>
    <col min="56" max="56" width="33" bestFit="1" customWidth="1"/>
  </cols>
  <sheetData>
    <row r="10" spans="1:56" s="55" customFormat="1" ht="219.5" x14ac:dyDescent="0.25">
      <c r="A10" s="51" t="s">
        <v>10</v>
      </c>
      <c r="B10" s="51" t="s">
        <v>11</v>
      </c>
      <c r="C10" s="51" t="s">
        <v>12</v>
      </c>
      <c r="D10" s="51" t="s">
        <v>13</v>
      </c>
      <c r="E10" s="51" t="s">
        <v>14</v>
      </c>
      <c r="F10" s="51" t="s">
        <v>15</v>
      </c>
      <c r="G10" s="51" t="s">
        <v>16</v>
      </c>
      <c r="H10" s="51" t="s">
        <v>17</v>
      </c>
      <c r="I10" s="51" t="s">
        <v>18</v>
      </c>
      <c r="J10" s="51" t="s">
        <v>19</v>
      </c>
      <c r="K10" s="51" t="s">
        <v>20</v>
      </c>
      <c r="L10" s="52" t="s">
        <v>21</v>
      </c>
      <c r="M10" s="52" t="s">
        <v>22</v>
      </c>
      <c r="N10" s="52" t="s">
        <v>23</v>
      </c>
      <c r="O10" s="52" t="s">
        <v>24</v>
      </c>
      <c r="P10" s="52" t="s">
        <v>25</v>
      </c>
      <c r="Q10" s="52" t="s">
        <v>26</v>
      </c>
      <c r="R10" s="52" t="s">
        <v>27</v>
      </c>
      <c r="S10" s="53" t="s">
        <v>28</v>
      </c>
      <c r="T10" s="53" t="s">
        <v>29</v>
      </c>
      <c r="U10" s="53" t="s">
        <v>30</v>
      </c>
      <c r="V10" s="53" t="s">
        <v>31</v>
      </c>
      <c r="W10" s="53" t="s">
        <v>32</v>
      </c>
      <c r="X10" s="53" t="s">
        <v>33</v>
      </c>
      <c r="Y10" s="53" t="s">
        <v>34</v>
      </c>
      <c r="Z10" s="54" t="s">
        <v>35</v>
      </c>
      <c r="AA10" s="54" t="s">
        <v>36</v>
      </c>
      <c r="AB10" s="54" t="s">
        <v>37</v>
      </c>
      <c r="AC10" s="54" t="s">
        <v>38</v>
      </c>
      <c r="AD10" s="54" t="s">
        <v>39</v>
      </c>
      <c r="AE10" s="51" t="s">
        <v>40</v>
      </c>
      <c r="AF10" s="51" t="s">
        <v>41</v>
      </c>
      <c r="AG10" s="51" t="s">
        <v>42</v>
      </c>
      <c r="AH10" s="51" t="s">
        <v>43</v>
      </c>
      <c r="AI10" s="51" t="s">
        <v>44</v>
      </c>
      <c r="AJ10" s="51" t="s">
        <v>45</v>
      </c>
      <c r="AK10" s="51" t="s">
        <v>46</v>
      </c>
      <c r="AL10" s="51" t="s">
        <v>47</v>
      </c>
      <c r="AM10" s="51" t="s">
        <v>48</v>
      </c>
      <c r="AN10" s="51" t="s">
        <v>49</v>
      </c>
      <c r="AO10" s="51" t="s">
        <v>50</v>
      </c>
      <c r="AP10" s="51" t="s">
        <v>51</v>
      </c>
      <c r="AQ10" s="51" t="s">
        <v>52</v>
      </c>
      <c r="AR10" s="51" t="s">
        <v>53</v>
      </c>
      <c r="AS10" s="51" t="s">
        <v>54</v>
      </c>
      <c r="AT10" s="51" t="s">
        <v>55</v>
      </c>
      <c r="AU10" s="51" t="s">
        <v>56</v>
      </c>
      <c r="AV10" s="51" t="s">
        <v>57</v>
      </c>
      <c r="AW10" s="51" t="s">
        <v>58</v>
      </c>
      <c r="AX10" s="51" t="s">
        <v>59</v>
      </c>
      <c r="AY10" s="51" t="s">
        <v>60</v>
      </c>
      <c r="AZ10" s="51" t="s">
        <v>61</v>
      </c>
      <c r="BA10" s="51" t="s">
        <v>62</v>
      </c>
      <c r="BB10" s="51" t="s">
        <v>63</v>
      </c>
      <c r="BC10" s="51" t="s">
        <v>64</v>
      </c>
      <c r="BD10" s="51" t="s">
        <v>65</v>
      </c>
    </row>
    <row r="11" spans="1:56" x14ac:dyDescent="0.25">
      <c r="A11" s="26"/>
      <c r="B11" s="26">
        <v>1</v>
      </c>
      <c r="C11" s="26"/>
      <c r="D11" s="27"/>
      <c r="E11" s="26"/>
      <c r="F11" s="28">
        <v>46297</v>
      </c>
      <c r="G11" s="29">
        <v>1</v>
      </c>
      <c r="H11" s="30">
        <v>309</v>
      </c>
      <c r="I11" s="30" t="s">
        <v>87</v>
      </c>
      <c r="J11" s="30">
        <v>235</v>
      </c>
      <c r="K11" s="31" t="s">
        <v>88</v>
      </c>
      <c r="L11" s="26"/>
      <c r="M11" s="26"/>
      <c r="N11" s="26"/>
      <c r="O11" s="26"/>
      <c r="P11" s="26"/>
      <c r="Q11" s="26"/>
      <c r="R11" s="26"/>
      <c r="S11" s="30" t="s">
        <v>89</v>
      </c>
      <c r="T11" s="30" t="s">
        <v>90</v>
      </c>
      <c r="U11" s="30" t="s">
        <v>91</v>
      </c>
      <c r="V11" s="30" t="s">
        <v>92</v>
      </c>
      <c r="W11" s="30">
        <v>3209</v>
      </c>
      <c r="X11" s="30">
        <v>1</v>
      </c>
      <c r="Y11" s="30" t="s">
        <v>93</v>
      </c>
      <c r="Z11" s="31" t="s">
        <v>94</v>
      </c>
      <c r="AA11" s="31" t="s">
        <v>95</v>
      </c>
      <c r="AB11" s="32" t="s">
        <v>96</v>
      </c>
      <c r="AC11" s="32" t="s">
        <v>97</v>
      </c>
      <c r="AD11" s="31">
        <v>200</v>
      </c>
      <c r="AE11" s="32">
        <v>200</v>
      </c>
      <c r="AF11" s="32">
        <v>0</v>
      </c>
      <c r="AG11" s="26"/>
      <c r="AH11" s="26"/>
      <c r="AI11" s="33" t="s">
        <v>98</v>
      </c>
      <c r="AJ11" s="32" t="s">
        <v>99</v>
      </c>
      <c r="AK11" s="32">
        <v>135</v>
      </c>
      <c r="AL11" s="32">
        <f t="shared" ref="AL11:AL18" si="0">AE11*AK11</f>
        <v>27000</v>
      </c>
      <c r="AM11" s="34">
        <v>0.22</v>
      </c>
      <c r="AN11" s="26"/>
      <c r="AO11" s="26"/>
      <c r="AP11" s="26"/>
      <c r="AQ11" s="26"/>
      <c r="AR11" s="26"/>
      <c r="AS11" s="26"/>
      <c r="AT11" s="26"/>
      <c r="AU11" s="26"/>
      <c r="AV11" s="29" t="s">
        <v>100</v>
      </c>
      <c r="AW11" s="35">
        <v>46296</v>
      </c>
      <c r="AX11" s="35">
        <v>46296</v>
      </c>
      <c r="AY11" s="29">
        <v>1111</v>
      </c>
      <c r="AZ11" s="29" t="s">
        <v>101</v>
      </c>
      <c r="BA11" s="35">
        <v>46295</v>
      </c>
      <c r="BB11" s="26"/>
      <c r="BC11" s="26" t="s">
        <v>102</v>
      </c>
      <c r="BD11" s="26" t="s">
        <v>103</v>
      </c>
    </row>
    <row r="12" spans="1:56" x14ac:dyDescent="0.25">
      <c r="A12" s="10"/>
      <c r="B12" s="2">
        <v>1</v>
      </c>
      <c r="C12" s="2"/>
      <c r="D12" s="3"/>
      <c r="E12" s="2"/>
      <c r="F12" s="11">
        <v>46297</v>
      </c>
      <c r="G12" s="5">
        <v>1</v>
      </c>
      <c r="H12" s="5">
        <v>309</v>
      </c>
      <c r="I12" s="5" t="s">
        <v>87</v>
      </c>
      <c r="J12" s="5">
        <v>235</v>
      </c>
      <c r="K12" s="5" t="s">
        <v>88</v>
      </c>
      <c r="L12" s="2"/>
      <c r="M12" s="2"/>
      <c r="N12" s="2"/>
      <c r="O12" s="2"/>
      <c r="P12" s="2"/>
      <c r="Q12" s="2"/>
      <c r="R12" s="2"/>
      <c r="S12" s="5" t="s">
        <v>89</v>
      </c>
      <c r="T12" s="5" t="s">
        <v>90</v>
      </c>
      <c r="U12" s="5" t="s">
        <v>91</v>
      </c>
      <c r="V12" s="5" t="s">
        <v>92</v>
      </c>
      <c r="W12" s="5">
        <v>3209</v>
      </c>
      <c r="X12" s="5">
        <v>1</v>
      </c>
      <c r="Y12" s="5" t="s">
        <v>93</v>
      </c>
      <c r="Z12" s="5" t="s">
        <v>94</v>
      </c>
      <c r="AA12" s="5" t="s">
        <v>95</v>
      </c>
      <c r="AB12" s="5" t="s">
        <v>96</v>
      </c>
      <c r="AC12" s="5" t="s">
        <v>97</v>
      </c>
      <c r="AD12" s="5">
        <v>200</v>
      </c>
      <c r="AE12" s="5">
        <v>200</v>
      </c>
      <c r="AF12" s="5">
        <v>0</v>
      </c>
      <c r="AG12" s="6"/>
      <c r="AH12" s="2"/>
      <c r="AI12" s="12" t="s">
        <v>104</v>
      </c>
      <c r="AJ12" s="5" t="s">
        <v>99</v>
      </c>
      <c r="AK12" s="5">
        <v>135</v>
      </c>
      <c r="AL12" s="7">
        <f t="shared" si="0"/>
        <v>27000</v>
      </c>
      <c r="AM12" s="8">
        <v>0.22</v>
      </c>
      <c r="AN12" s="13"/>
      <c r="AO12" s="2"/>
      <c r="AP12" s="6"/>
      <c r="AQ12" s="6"/>
      <c r="AR12" s="6"/>
      <c r="AS12" s="14">
        <v>1.5</v>
      </c>
      <c r="AT12" s="13">
        <f t="shared" ref="AT12:AT18" si="1">AS12*AK12</f>
        <v>202.5</v>
      </c>
      <c r="AU12" s="15">
        <f t="shared" ref="AU12:AU18" si="2">AT12*AD12</f>
        <v>40500</v>
      </c>
      <c r="AV12" s="4" t="s">
        <v>100</v>
      </c>
      <c r="AW12" s="9">
        <v>46296</v>
      </c>
      <c r="AX12" s="9">
        <v>46296</v>
      </c>
      <c r="AY12" s="4">
        <v>1111</v>
      </c>
      <c r="AZ12" s="4" t="s">
        <v>101</v>
      </c>
      <c r="BA12" s="9">
        <v>46295</v>
      </c>
      <c r="BB12" s="6"/>
      <c r="BC12" s="2" t="s">
        <v>102</v>
      </c>
      <c r="BD12" s="10" t="s">
        <v>103</v>
      </c>
    </row>
    <row r="13" spans="1:56" x14ac:dyDescent="0.25">
      <c r="A13" s="10"/>
      <c r="B13" s="2">
        <v>1</v>
      </c>
      <c r="C13" s="2"/>
      <c r="D13" s="3"/>
      <c r="E13" s="2"/>
      <c r="F13" s="11">
        <v>46297</v>
      </c>
      <c r="G13" s="5">
        <v>1</v>
      </c>
      <c r="H13" s="5">
        <v>309</v>
      </c>
      <c r="I13" s="5" t="s">
        <v>87</v>
      </c>
      <c r="J13" s="5">
        <v>235</v>
      </c>
      <c r="K13" s="5" t="s">
        <v>88</v>
      </c>
      <c r="L13" s="2"/>
      <c r="M13" s="2"/>
      <c r="N13" s="2"/>
      <c r="O13" s="2"/>
      <c r="P13" s="2"/>
      <c r="Q13" s="2"/>
      <c r="R13" s="2"/>
      <c r="S13" s="5" t="s">
        <v>89</v>
      </c>
      <c r="T13" s="5" t="s">
        <v>90</v>
      </c>
      <c r="U13" s="5" t="s">
        <v>91</v>
      </c>
      <c r="V13" s="5" t="s">
        <v>92</v>
      </c>
      <c r="W13" s="5">
        <v>3209</v>
      </c>
      <c r="X13" s="5">
        <v>1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>
        <v>200</v>
      </c>
      <c r="AE13" s="5">
        <v>200</v>
      </c>
      <c r="AF13" s="5">
        <v>0</v>
      </c>
      <c r="AG13" s="6"/>
      <c r="AH13" s="80"/>
      <c r="AI13" s="12" t="s">
        <v>105</v>
      </c>
      <c r="AJ13" s="5" t="s">
        <v>99</v>
      </c>
      <c r="AK13" s="5">
        <v>135</v>
      </c>
      <c r="AL13" s="7">
        <f t="shared" si="0"/>
        <v>27000</v>
      </c>
      <c r="AM13" s="8">
        <v>0.22</v>
      </c>
      <c r="AN13" s="13"/>
      <c r="AO13" s="2"/>
      <c r="AP13" s="6"/>
      <c r="AQ13" s="6"/>
      <c r="AR13" s="6"/>
      <c r="AS13" s="14">
        <v>1.5</v>
      </c>
      <c r="AT13" s="13">
        <f t="shared" si="1"/>
        <v>202.5</v>
      </c>
      <c r="AU13" s="15">
        <f t="shared" si="2"/>
        <v>40500</v>
      </c>
      <c r="AV13" s="4" t="s">
        <v>100</v>
      </c>
      <c r="AW13" s="9">
        <v>46296</v>
      </c>
      <c r="AX13" s="9">
        <v>46296</v>
      </c>
      <c r="AY13" s="4">
        <v>1111</v>
      </c>
      <c r="AZ13" s="4" t="s">
        <v>101</v>
      </c>
      <c r="BA13" s="9">
        <v>46295</v>
      </c>
      <c r="BB13" s="6"/>
      <c r="BC13" s="2" t="s">
        <v>102</v>
      </c>
      <c r="BD13" s="10" t="s">
        <v>106</v>
      </c>
    </row>
    <row r="14" spans="1:56" x14ac:dyDescent="0.25">
      <c r="A14" s="10"/>
      <c r="B14" s="2">
        <v>1</v>
      </c>
      <c r="C14" s="2"/>
      <c r="D14" s="3"/>
      <c r="E14" s="2"/>
      <c r="F14" s="11">
        <v>46297</v>
      </c>
      <c r="G14" s="5">
        <v>1</v>
      </c>
      <c r="H14" s="5">
        <v>309</v>
      </c>
      <c r="I14" s="5" t="s">
        <v>87</v>
      </c>
      <c r="J14" s="5">
        <v>235</v>
      </c>
      <c r="K14" s="5" t="s">
        <v>88</v>
      </c>
      <c r="L14" s="2"/>
      <c r="M14" s="2"/>
      <c r="N14" s="2"/>
      <c r="O14" s="2"/>
      <c r="P14" s="2"/>
      <c r="Q14" s="2"/>
      <c r="R14" s="2"/>
      <c r="S14" s="5" t="s">
        <v>89</v>
      </c>
      <c r="T14" s="5" t="s">
        <v>90</v>
      </c>
      <c r="U14" s="5" t="s">
        <v>91</v>
      </c>
      <c r="V14" s="5" t="s">
        <v>92</v>
      </c>
      <c r="W14" s="5">
        <v>3209</v>
      </c>
      <c r="X14" s="5">
        <v>1</v>
      </c>
      <c r="Y14" s="5" t="s">
        <v>93</v>
      </c>
      <c r="Z14" s="5" t="s">
        <v>94</v>
      </c>
      <c r="AA14" s="5" t="s">
        <v>95</v>
      </c>
      <c r="AB14" s="5" t="s">
        <v>96</v>
      </c>
      <c r="AC14" s="5" t="s">
        <v>97</v>
      </c>
      <c r="AD14" s="5">
        <v>200</v>
      </c>
      <c r="AE14" s="5">
        <v>200</v>
      </c>
      <c r="AF14" s="5">
        <v>0</v>
      </c>
      <c r="AG14" s="6"/>
      <c r="AH14" s="2"/>
      <c r="AI14" s="12" t="s">
        <v>107</v>
      </c>
      <c r="AJ14" s="5" t="s">
        <v>99</v>
      </c>
      <c r="AK14" s="5">
        <v>135</v>
      </c>
      <c r="AL14" s="7">
        <f t="shared" si="0"/>
        <v>27000</v>
      </c>
      <c r="AM14" s="8">
        <v>0.22</v>
      </c>
      <c r="AN14" s="7"/>
      <c r="AO14" s="2"/>
      <c r="AP14" s="6"/>
      <c r="AQ14" s="6"/>
      <c r="AR14" s="6"/>
      <c r="AS14" s="16">
        <v>1.5</v>
      </c>
      <c r="AT14" s="7">
        <f t="shared" si="1"/>
        <v>202.5</v>
      </c>
      <c r="AU14" s="15">
        <f t="shared" si="2"/>
        <v>40500</v>
      </c>
      <c r="AV14" s="4" t="s">
        <v>100</v>
      </c>
      <c r="AW14" s="9">
        <v>46296</v>
      </c>
      <c r="AX14" s="9">
        <v>46296</v>
      </c>
      <c r="AY14" s="4">
        <v>1111</v>
      </c>
      <c r="AZ14" s="4" t="s">
        <v>101</v>
      </c>
      <c r="BA14" s="9">
        <v>46295</v>
      </c>
      <c r="BB14" s="6"/>
      <c r="BC14" s="2" t="s">
        <v>102</v>
      </c>
      <c r="BD14" s="10" t="s">
        <v>106</v>
      </c>
    </row>
    <row r="15" spans="1:56" x14ac:dyDescent="0.25">
      <c r="A15" s="10"/>
      <c r="B15" s="2">
        <v>1</v>
      </c>
      <c r="C15" s="2"/>
      <c r="D15" s="3"/>
      <c r="E15" s="2"/>
      <c r="F15" s="11">
        <v>46297</v>
      </c>
      <c r="G15" s="5">
        <v>1</v>
      </c>
      <c r="H15" s="5">
        <v>309</v>
      </c>
      <c r="I15" s="5" t="s">
        <v>87</v>
      </c>
      <c r="J15" s="5">
        <v>235</v>
      </c>
      <c r="K15" s="5" t="s">
        <v>88</v>
      </c>
      <c r="L15" s="2"/>
      <c r="M15" s="2"/>
      <c r="N15" s="2"/>
      <c r="O15" s="2"/>
      <c r="P15" s="2"/>
      <c r="Q15" s="2"/>
      <c r="R15" s="2"/>
      <c r="S15" s="5" t="s">
        <v>89</v>
      </c>
      <c r="T15" s="5" t="s">
        <v>90</v>
      </c>
      <c r="U15" s="5" t="s">
        <v>91</v>
      </c>
      <c r="V15" s="5" t="s">
        <v>92</v>
      </c>
      <c r="W15" s="5">
        <v>3209</v>
      </c>
      <c r="X15" s="5">
        <v>1</v>
      </c>
      <c r="Y15" s="5" t="s">
        <v>93</v>
      </c>
      <c r="Z15" s="5" t="s">
        <v>94</v>
      </c>
      <c r="AA15" s="5" t="s">
        <v>95</v>
      </c>
      <c r="AB15" s="5" t="s">
        <v>96</v>
      </c>
      <c r="AC15" s="5" t="s">
        <v>97</v>
      </c>
      <c r="AD15" s="5">
        <v>200</v>
      </c>
      <c r="AE15" s="5">
        <v>200</v>
      </c>
      <c r="AF15" s="5">
        <v>0</v>
      </c>
      <c r="AG15" s="6"/>
      <c r="AH15" s="2"/>
      <c r="AI15" s="12" t="s">
        <v>108</v>
      </c>
      <c r="AJ15" s="5" t="s">
        <v>99</v>
      </c>
      <c r="AK15" s="5">
        <v>135</v>
      </c>
      <c r="AL15" s="7">
        <f t="shared" si="0"/>
        <v>27000</v>
      </c>
      <c r="AM15" s="8">
        <v>0.22</v>
      </c>
      <c r="AN15" s="13"/>
      <c r="AO15" s="2"/>
      <c r="AP15" s="6"/>
      <c r="AQ15" s="6"/>
      <c r="AR15" s="6"/>
      <c r="AS15" s="14">
        <v>1.5</v>
      </c>
      <c r="AT15" s="13">
        <f t="shared" si="1"/>
        <v>202.5</v>
      </c>
      <c r="AU15" s="15">
        <f t="shared" si="2"/>
        <v>40500</v>
      </c>
      <c r="AV15" s="4" t="s">
        <v>100</v>
      </c>
      <c r="AW15" s="9">
        <v>46296</v>
      </c>
      <c r="AX15" s="9">
        <v>46296</v>
      </c>
      <c r="AY15" s="4">
        <v>1111</v>
      </c>
      <c r="AZ15" s="4" t="s">
        <v>101</v>
      </c>
      <c r="BA15" s="9">
        <v>46295</v>
      </c>
      <c r="BB15" s="6"/>
      <c r="BC15" s="2" t="s">
        <v>102</v>
      </c>
      <c r="BD15" s="10" t="s">
        <v>109</v>
      </c>
    </row>
    <row r="16" spans="1:56" x14ac:dyDescent="0.25">
      <c r="A16" s="10"/>
      <c r="B16" s="2">
        <v>1</v>
      </c>
      <c r="C16" s="26"/>
      <c r="D16" s="82">
        <v>46297</v>
      </c>
      <c r="E16" s="57">
        <v>1</v>
      </c>
      <c r="F16" s="11">
        <v>46297</v>
      </c>
      <c r="G16" s="5">
        <v>1</v>
      </c>
      <c r="H16" s="5">
        <v>309</v>
      </c>
      <c r="I16" s="5" t="s">
        <v>87</v>
      </c>
      <c r="J16" s="5">
        <v>235</v>
      </c>
      <c r="K16" s="5" t="s">
        <v>88</v>
      </c>
      <c r="L16" s="2"/>
      <c r="M16" s="2"/>
      <c r="N16" s="2"/>
      <c r="O16" s="2"/>
      <c r="P16" s="2"/>
      <c r="Q16" s="2"/>
      <c r="R16" s="2"/>
      <c r="S16" s="5" t="s">
        <v>89</v>
      </c>
      <c r="T16" s="5" t="s">
        <v>90</v>
      </c>
      <c r="U16" s="5" t="s">
        <v>91</v>
      </c>
      <c r="V16" s="5" t="s">
        <v>92</v>
      </c>
      <c r="W16" s="5">
        <v>3209</v>
      </c>
      <c r="X16" s="5">
        <v>1</v>
      </c>
      <c r="Y16" s="5" t="s">
        <v>93</v>
      </c>
      <c r="Z16" s="5" t="s">
        <v>94</v>
      </c>
      <c r="AA16" s="5" t="s">
        <v>95</v>
      </c>
      <c r="AB16" s="5" t="s">
        <v>96</v>
      </c>
      <c r="AC16" s="5" t="s">
        <v>97</v>
      </c>
      <c r="AD16" s="5">
        <v>200</v>
      </c>
      <c r="AE16" s="5">
        <v>200</v>
      </c>
      <c r="AF16" s="5">
        <v>0</v>
      </c>
      <c r="AG16" s="6"/>
      <c r="AH16" s="2"/>
      <c r="AI16" s="12" t="s">
        <v>110</v>
      </c>
      <c r="AJ16" s="5" t="s">
        <v>99</v>
      </c>
      <c r="AK16" s="5">
        <v>135</v>
      </c>
      <c r="AL16" s="7">
        <f t="shared" si="0"/>
        <v>27000</v>
      </c>
      <c r="AM16" s="8">
        <v>0.22</v>
      </c>
      <c r="AN16" s="13"/>
      <c r="AO16" s="2"/>
      <c r="AP16" s="6"/>
      <c r="AQ16" s="6"/>
      <c r="AR16" s="6"/>
      <c r="AS16" s="14">
        <v>1.5</v>
      </c>
      <c r="AT16" s="13">
        <f t="shared" si="1"/>
        <v>202.5</v>
      </c>
      <c r="AU16" s="15">
        <f t="shared" si="2"/>
        <v>40500</v>
      </c>
      <c r="AV16" s="4" t="s">
        <v>100</v>
      </c>
      <c r="AW16" s="9">
        <v>46296</v>
      </c>
      <c r="AX16" s="9">
        <v>46296</v>
      </c>
      <c r="AY16" s="4">
        <v>1111</v>
      </c>
      <c r="AZ16" s="4" t="s">
        <v>101</v>
      </c>
      <c r="BA16" s="9">
        <v>46295</v>
      </c>
      <c r="BB16" s="6"/>
      <c r="BC16" s="2" t="s">
        <v>102</v>
      </c>
      <c r="BD16" s="10" t="s">
        <v>111</v>
      </c>
    </row>
    <row r="17" spans="1:56" x14ac:dyDescent="0.25">
      <c r="A17" s="10"/>
      <c r="B17" s="2">
        <v>1</v>
      </c>
      <c r="C17" s="26"/>
      <c r="D17" s="27">
        <v>46297</v>
      </c>
      <c r="E17" s="26">
        <v>1</v>
      </c>
      <c r="F17" s="11">
        <v>46297</v>
      </c>
      <c r="G17" s="5">
        <v>1</v>
      </c>
      <c r="H17" s="5">
        <v>309</v>
      </c>
      <c r="I17" s="5" t="s">
        <v>87</v>
      </c>
      <c r="J17" s="5">
        <v>235</v>
      </c>
      <c r="K17" s="5" t="s">
        <v>88</v>
      </c>
      <c r="L17" s="2"/>
      <c r="M17" s="2"/>
      <c r="N17" s="2"/>
      <c r="O17" s="2"/>
      <c r="P17" s="2"/>
      <c r="Q17" s="2"/>
      <c r="R17" s="2"/>
      <c r="S17" s="5" t="s">
        <v>89</v>
      </c>
      <c r="T17" s="5" t="s">
        <v>90</v>
      </c>
      <c r="U17" s="5" t="s">
        <v>91</v>
      </c>
      <c r="V17" s="5" t="s">
        <v>92</v>
      </c>
      <c r="W17" s="5">
        <v>3209</v>
      </c>
      <c r="X17" s="5">
        <v>1</v>
      </c>
      <c r="Y17" s="5" t="s">
        <v>93</v>
      </c>
      <c r="Z17" s="5" t="s">
        <v>94</v>
      </c>
      <c r="AA17" s="5" t="s">
        <v>95</v>
      </c>
      <c r="AB17" s="5" t="s">
        <v>96</v>
      </c>
      <c r="AC17" s="5" t="s">
        <v>97</v>
      </c>
      <c r="AD17" s="5">
        <v>200</v>
      </c>
      <c r="AE17" s="5">
        <v>200</v>
      </c>
      <c r="AF17" s="5">
        <v>0</v>
      </c>
      <c r="AG17" s="6"/>
      <c r="AH17" s="2"/>
      <c r="AI17" s="12" t="s">
        <v>112</v>
      </c>
      <c r="AJ17" s="5" t="s">
        <v>99</v>
      </c>
      <c r="AK17" s="5">
        <v>135</v>
      </c>
      <c r="AL17" s="7">
        <f t="shared" si="0"/>
        <v>27000</v>
      </c>
      <c r="AM17" s="8">
        <v>0.22</v>
      </c>
      <c r="AN17" s="7"/>
      <c r="AO17" s="2"/>
      <c r="AP17" s="6"/>
      <c r="AQ17" s="6"/>
      <c r="AR17" s="6"/>
      <c r="AS17" s="16">
        <v>1.5</v>
      </c>
      <c r="AT17" s="7">
        <f t="shared" si="1"/>
        <v>202.5</v>
      </c>
      <c r="AU17" s="15">
        <f t="shared" si="2"/>
        <v>40500</v>
      </c>
      <c r="AV17" s="4" t="s">
        <v>100</v>
      </c>
      <c r="AW17" s="9">
        <v>46296</v>
      </c>
      <c r="AX17" s="9">
        <v>46296</v>
      </c>
      <c r="AY17" s="4">
        <v>1111</v>
      </c>
      <c r="AZ17" s="4" t="s">
        <v>101</v>
      </c>
      <c r="BA17" s="9">
        <v>46295</v>
      </c>
      <c r="BB17" s="6"/>
      <c r="BC17" s="2" t="s">
        <v>102</v>
      </c>
      <c r="BD17" s="10" t="s">
        <v>113</v>
      </c>
    </row>
    <row r="18" spans="1:56" x14ac:dyDescent="0.25">
      <c r="A18" s="10"/>
      <c r="B18" s="2">
        <v>1</v>
      </c>
      <c r="C18" s="57"/>
      <c r="D18" s="27">
        <v>46297</v>
      </c>
      <c r="E18" s="26">
        <v>1</v>
      </c>
      <c r="F18" s="11">
        <v>46297</v>
      </c>
      <c r="G18" s="5">
        <v>1</v>
      </c>
      <c r="H18" s="5">
        <v>309</v>
      </c>
      <c r="I18" s="5" t="s">
        <v>87</v>
      </c>
      <c r="J18" s="5">
        <v>235</v>
      </c>
      <c r="K18" s="5" t="s">
        <v>88</v>
      </c>
      <c r="L18" s="2"/>
      <c r="M18" s="2"/>
      <c r="N18" s="2"/>
      <c r="O18" s="2"/>
      <c r="P18" s="2"/>
      <c r="Q18" s="2"/>
      <c r="R18" s="2"/>
      <c r="S18" s="5" t="s">
        <v>89</v>
      </c>
      <c r="T18" s="5" t="s">
        <v>90</v>
      </c>
      <c r="U18" s="5" t="s">
        <v>91</v>
      </c>
      <c r="V18" s="5" t="s">
        <v>92</v>
      </c>
      <c r="W18" s="5">
        <v>3209</v>
      </c>
      <c r="X18" s="5">
        <v>1</v>
      </c>
      <c r="Y18" s="5" t="s">
        <v>93</v>
      </c>
      <c r="Z18" s="5" t="s">
        <v>94</v>
      </c>
      <c r="AA18" s="5" t="s">
        <v>95</v>
      </c>
      <c r="AB18" s="5" t="s">
        <v>96</v>
      </c>
      <c r="AC18" s="5" t="s">
        <v>97</v>
      </c>
      <c r="AD18" s="5">
        <v>200</v>
      </c>
      <c r="AE18" s="5">
        <v>200</v>
      </c>
      <c r="AF18" s="5">
        <v>0</v>
      </c>
      <c r="AG18" s="6"/>
      <c r="AH18" s="2"/>
      <c r="AI18" s="12" t="s">
        <v>114</v>
      </c>
      <c r="AJ18" s="5" t="s">
        <v>99</v>
      </c>
      <c r="AK18" s="5">
        <v>135</v>
      </c>
      <c r="AL18" s="7">
        <f t="shared" si="0"/>
        <v>27000</v>
      </c>
      <c r="AM18" s="8">
        <v>0.22</v>
      </c>
      <c r="AN18" s="7"/>
      <c r="AO18" s="2"/>
      <c r="AP18" s="6"/>
      <c r="AQ18" s="6"/>
      <c r="AR18" s="6"/>
      <c r="AS18" s="16">
        <v>1.5</v>
      </c>
      <c r="AT18" s="7">
        <f t="shared" si="1"/>
        <v>202.5</v>
      </c>
      <c r="AU18" s="15">
        <f t="shared" si="2"/>
        <v>40500</v>
      </c>
      <c r="AV18" s="4" t="s">
        <v>100</v>
      </c>
      <c r="AW18" s="9">
        <v>46296</v>
      </c>
      <c r="AX18" s="9">
        <v>46296</v>
      </c>
      <c r="AY18" s="4">
        <v>1111</v>
      </c>
      <c r="AZ18" s="4" t="s">
        <v>101</v>
      </c>
      <c r="BA18" s="9">
        <v>46295</v>
      </c>
      <c r="BB18" s="6"/>
      <c r="BC18" s="2" t="s">
        <v>102</v>
      </c>
      <c r="BD18" s="10" t="s">
        <v>115</v>
      </c>
    </row>
    <row r="19" spans="1:5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5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5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56" x14ac:dyDescent="0.25">
      <c r="A22" s="1"/>
      <c r="B22" s="1"/>
      <c r="C22" s="1"/>
      <c r="D22" s="1"/>
      <c r="E22" s="1"/>
      <c r="H22" s="1"/>
      <c r="I22" s="1"/>
      <c r="J22" s="1"/>
      <c r="K22" s="1"/>
      <c r="L22" s="1"/>
      <c r="M22" s="1"/>
      <c r="N22" s="1"/>
      <c r="O22" s="1"/>
      <c r="U22" s="17"/>
      <c r="V22" s="18" t="s">
        <v>116</v>
      </c>
    </row>
    <row r="23" spans="1:56" x14ac:dyDescent="0.25">
      <c r="A23" s="1"/>
      <c r="B23" s="1"/>
      <c r="C23" s="1"/>
      <c r="D23" s="1"/>
      <c r="E23" s="1"/>
      <c r="H23" s="1"/>
      <c r="I23" s="1"/>
      <c r="J23" s="1"/>
      <c r="K23" s="1"/>
      <c r="L23" s="1"/>
      <c r="M23" s="1"/>
      <c r="N23" s="1"/>
      <c r="O23" s="1"/>
      <c r="U23" s="19"/>
      <c r="V23" s="18" t="s">
        <v>117</v>
      </c>
    </row>
    <row r="24" spans="1:56" x14ac:dyDescent="0.25">
      <c r="A24" s="1"/>
      <c r="B24" s="1"/>
      <c r="C24" s="1"/>
      <c r="D24" s="1"/>
      <c r="E24" s="1"/>
      <c r="H24" s="1"/>
      <c r="I24" s="1"/>
      <c r="J24" s="1"/>
      <c r="K24" s="1"/>
      <c r="L24" s="1"/>
      <c r="M24" s="1"/>
      <c r="N24" s="1"/>
      <c r="U24" s="20"/>
      <c r="V24" s="18" t="s">
        <v>118</v>
      </c>
    </row>
    <row r="25" spans="1:56" x14ac:dyDescent="0.25">
      <c r="A25" s="1"/>
      <c r="B25" s="1"/>
      <c r="C25" s="1"/>
      <c r="D25" s="1"/>
      <c r="E25" s="1"/>
      <c r="H25" s="1"/>
      <c r="I25" s="1"/>
      <c r="J25" s="1"/>
      <c r="K25" s="1"/>
      <c r="L25" s="1"/>
      <c r="M25" s="1"/>
      <c r="N25" s="1"/>
      <c r="O25" s="1"/>
      <c r="U25" s="21"/>
      <c r="V25" s="1"/>
    </row>
    <row r="26" spans="1:5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U26" s="73"/>
      <c r="V26" s="74" t="s">
        <v>125</v>
      </c>
    </row>
    <row r="27" spans="1:5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56" s="55" customFormat="1" ht="219.5" x14ac:dyDescent="0.25">
      <c r="A28" s="51" t="s">
        <v>10</v>
      </c>
      <c r="B28" s="51" t="s">
        <v>11</v>
      </c>
      <c r="C28" s="51" t="s">
        <v>12</v>
      </c>
      <c r="D28" s="51" t="s">
        <v>13</v>
      </c>
      <c r="E28" s="51" t="s">
        <v>14</v>
      </c>
      <c r="F28" s="51" t="s">
        <v>15</v>
      </c>
      <c r="G28" s="51" t="s">
        <v>16</v>
      </c>
      <c r="H28" s="51" t="s">
        <v>17</v>
      </c>
      <c r="I28" s="51" t="s">
        <v>18</v>
      </c>
      <c r="J28" s="51" t="s">
        <v>19</v>
      </c>
      <c r="K28" s="51" t="s">
        <v>20</v>
      </c>
      <c r="L28" s="52" t="s">
        <v>21</v>
      </c>
      <c r="M28" s="52" t="s">
        <v>22</v>
      </c>
      <c r="N28" s="52" t="s">
        <v>23</v>
      </c>
      <c r="O28" s="52" t="s">
        <v>24</v>
      </c>
      <c r="P28" s="52" t="s">
        <v>25</v>
      </c>
      <c r="Q28" s="52" t="s">
        <v>26</v>
      </c>
      <c r="R28" s="52" t="s">
        <v>27</v>
      </c>
      <c r="S28" s="53" t="s">
        <v>28</v>
      </c>
      <c r="T28" s="53" t="s">
        <v>29</v>
      </c>
      <c r="U28" s="53" t="s">
        <v>30</v>
      </c>
      <c r="V28" s="53" t="s">
        <v>31</v>
      </c>
      <c r="W28" s="53" t="s">
        <v>32</v>
      </c>
      <c r="X28" s="53" t="s">
        <v>33</v>
      </c>
      <c r="Y28" s="53" t="s">
        <v>34</v>
      </c>
      <c r="Z28" s="54" t="s">
        <v>35</v>
      </c>
      <c r="AA28" s="54" t="s">
        <v>36</v>
      </c>
      <c r="AB28" s="54" t="s">
        <v>37</v>
      </c>
      <c r="AC28" s="54" t="s">
        <v>38</v>
      </c>
      <c r="AD28" s="54" t="s">
        <v>39</v>
      </c>
      <c r="AE28" s="51" t="s">
        <v>40</v>
      </c>
      <c r="AF28" s="51" t="s">
        <v>41</v>
      </c>
      <c r="AG28" s="51" t="s">
        <v>42</v>
      </c>
      <c r="AH28" s="51" t="s">
        <v>43</v>
      </c>
      <c r="AI28" s="51" t="s">
        <v>44</v>
      </c>
      <c r="AJ28" s="51" t="s">
        <v>45</v>
      </c>
      <c r="AK28" s="51" t="s">
        <v>46</v>
      </c>
      <c r="AL28" s="51" t="s">
        <v>47</v>
      </c>
      <c r="AM28" s="51" t="s">
        <v>48</v>
      </c>
      <c r="AN28" s="51" t="s">
        <v>49</v>
      </c>
      <c r="AO28" s="51" t="s">
        <v>50</v>
      </c>
      <c r="AP28" s="51" t="s">
        <v>51</v>
      </c>
      <c r="AQ28" s="51" t="s">
        <v>52</v>
      </c>
      <c r="AR28" s="51" t="s">
        <v>53</v>
      </c>
      <c r="AS28" s="51" t="s">
        <v>54</v>
      </c>
      <c r="AT28" s="51" t="s">
        <v>55</v>
      </c>
      <c r="AU28" s="51" t="s">
        <v>56</v>
      </c>
      <c r="AV28" s="51" t="s">
        <v>57</v>
      </c>
      <c r="AW28" s="51" t="s">
        <v>58</v>
      </c>
      <c r="AX28" s="51" t="s">
        <v>59</v>
      </c>
      <c r="AY28" s="51" t="s">
        <v>60</v>
      </c>
      <c r="AZ28" s="51" t="s">
        <v>61</v>
      </c>
      <c r="BA28" s="51" t="s">
        <v>62</v>
      </c>
      <c r="BB28" s="51" t="s">
        <v>63</v>
      </c>
      <c r="BC28" s="51" t="s">
        <v>64</v>
      </c>
      <c r="BD28" s="51" t="s">
        <v>65</v>
      </c>
    </row>
    <row r="29" spans="1:56" ht="13" x14ac:dyDescent="0.3">
      <c r="A29" s="26"/>
      <c r="B29" s="26">
        <v>1</v>
      </c>
      <c r="C29" s="26"/>
      <c r="D29" s="27"/>
      <c r="E29" s="26"/>
      <c r="F29" s="28">
        <v>46297</v>
      </c>
      <c r="G29" s="29">
        <v>1</v>
      </c>
      <c r="H29" s="30">
        <v>309</v>
      </c>
      <c r="I29" s="30" t="s">
        <v>87</v>
      </c>
      <c r="J29" s="30">
        <v>235</v>
      </c>
      <c r="K29" s="31" t="s">
        <v>88</v>
      </c>
      <c r="L29" s="26"/>
      <c r="M29" s="26"/>
      <c r="N29" s="26"/>
      <c r="O29" s="26"/>
      <c r="P29" s="26"/>
      <c r="Q29" s="26"/>
      <c r="R29" s="26"/>
      <c r="S29" s="30" t="s">
        <v>89</v>
      </c>
      <c r="T29" s="30" t="s">
        <v>90</v>
      </c>
      <c r="U29" s="30" t="s">
        <v>91</v>
      </c>
      <c r="V29" s="30" t="s">
        <v>92</v>
      </c>
      <c r="W29" s="30">
        <v>3209</v>
      </c>
      <c r="X29" s="30">
        <v>1</v>
      </c>
      <c r="Y29" s="30" t="s">
        <v>93</v>
      </c>
      <c r="Z29" s="31" t="s">
        <v>94</v>
      </c>
      <c r="AA29" s="31" t="s">
        <v>95</v>
      </c>
      <c r="AB29" s="32" t="s">
        <v>96</v>
      </c>
      <c r="AC29" s="32" t="s">
        <v>97</v>
      </c>
      <c r="AD29" s="31">
        <v>200</v>
      </c>
      <c r="AE29" s="32"/>
      <c r="AF29" s="32"/>
      <c r="AG29" s="26"/>
      <c r="AH29" s="26"/>
      <c r="AI29" s="33" t="s">
        <v>98</v>
      </c>
      <c r="AJ29" s="32"/>
      <c r="AK29" s="32"/>
      <c r="AL29" s="23">
        <f t="shared" ref="AL29:AL30" si="3">AE29*AK29</f>
        <v>0</v>
      </c>
      <c r="AM29" s="34"/>
      <c r="AN29" s="26"/>
      <c r="AO29" s="26"/>
      <c r="AP29" s="26"/>
      <c r="AQ29" s="26"/>
      <c r="AR29" s="26"/>
      <c r="AS29" s="26"/>
      <c r="AT29" s="26"/>
      <c r="AU29" s="26"/>
      <c r="AV29" s="29"/>
      <c r="AW29" s="35"/>
      <c r="AX29" s="35"/>
      <c r="AY29" s="29"/>
      <c r="AZ29" s="29"/>
      <c r="BA29" s="35"/>
      <c r="BB29" s="26"/>
      <c r="BC29" s="39" t="s">
        <v>119</v>
      </c>
      <c r="BD29" s="26" t="s">
        <v>103</v>
      </c>
    </row>
    <row r="30" spans="1:56" ht="13" x14ac:dyDescent="0.3">
      <c r="A30" s="26"/>
      <c r="B30" s="26">
        <v>1</v>
      </c>
      <c r="C30" s="26"/>
      <c r="D30" s="27"/>
      <c r="E30" s="26"/>
      <c r="F30" s="40">
        <v>46297</v>
      </c>
      <c r="G30" s="41">
        <v>1</v>
      </c>
      <c r="H30" s="42">
        <v>309</v>
      </c>
      <c r="I30" s="42" t="s">
        <v>87</v>
      </c>
      <c r="J30" s="42">
        <v>235</v>
      </c>
      <c r="K30" s="43" t="s">
        <v>88</v>
      </c>
      <c r="L30" s="26"/>
      <c r="M30" s="26"/>
      <c r="N30" s="26"/>
      <c r="O30" s="26"/>
      <c r="P30" s="26"/>
      <c r="Q30" s="26"/>
      <c r="R30" s="26"/>
      <c r="S30" s="42" t="s">
        <v>89</v>
      </c>
      <c r="T30" s="42" t="s">
        <v>90</v>
      </c>
      <c r="U30" s="42" t="s">
        <v>91</v>
      </c>
      <c r="V30" s="42" t="s">
        <v>92</v>
      </c>
      <c r="W30" s="42">
        <v>3209</v>
      </c>
      <c r="X30" s="42">
        <v>1</v>
      </c>
      <c r="Y30" s="42" t="s">
        <v>93</v>
      </c>
      <c r="Z30" s="43" t="s">
        <v>94</v>
      </c>
      <c r="AA30" s="43" t="s">
        <v>95</v>
      </c>
      <c r="AB30" s="44" t="s">
        <v>96</v>
      </c>
      <c r="AC30" s="44" t="s">
        <v>97</v>
      </c>
      <c r="AD30" s="43">
        <v>200</v>
      </c>
      <c r="AE30" s="44">
        <v>200</v>
      </c>
      <c r="AF30" s="32"/>
      <c r="AG30" s="26">
        <v>200</v>
      </c>
      <c r="AH30" s="26"/>
      <c r="AI30" s="38" t="s">
        <v>120</v>
      </c>
      <c r="AJ30" s="32"/>
      <c r="AK30" s="59">
        <v>101</v>
      </c>
      <c r="AL30" s="60">
        <f t="shared" si="3"/>
        <v>20200</v>
      </c>
      <c r="AM30" s="50">
        <v>0.22</v>
      </c>
      <c r="AN30" s="61">
        <v>140</v>
      </c>
      <c r="AO30" s="62"/>
      <c r="AP30" s="57">
        <v>12</v>
      </c>
      <c r="AQ30" s="58">
        <v>46297</v>
      </c>
      <c r="AR30" s="26"/>
      <c r="AS30" s="26"/>
      <c r="AT30" s="26"/>
      <c r="AU30" s="26"/>
      <c r="AV30" s="49" t="s">
        <v>100</v>
      </c>
      <c r="AW30" s="35"/>
      <c r="AX30" s="35"/>
      <c r="AY30" s="29"/>
      <c r="AZ30" s="29"/>
      <c r="BA30" s="35">
        <v>46297</v>
      </c>
      <c r="BB30" s="58">
        <v>46298</v>
      </c>
      <c r="BC30" s="39" t="s">
        <v>119</v>
      </c>
      <c r="BD30" s="48" t="s">
        <v>122</v>
      </c>
    </row>
    <row r="31" spans="1:56" ht="13" x14ac:dyDescent="0.3">
      <c r="A31" s="26"/>
      <c r="B31" s="26">
        <v>1</v>
      </c>
      <c r="C31" s="26"/>
      <c r="D31" s="27"/>
      <c r="E31" s="26"/>
      <c r="F31" s="40">
        <v>46297</v>
      </c>
      <c r="G31" s="41">
        <v>1</v>
      </c>
      <c r="H31" s="42">
        <v>309</v>
      </c>
      <c r="I31" s="42" t="s">
        <v>87</v>
      </c>
      <c r="J31" s="42">
        <v>235</v>
      </c>
      <c r="K31" s="43" t="s">
        <v>88</v>
      </c>
      <c r="L31" s="26"/>
      <c r="M31" s="26"/>
      <c r="N31" s="26"/>
      <c r="O31" s="26"/>
      <c r="P31" s="26"/>
      <c r="Q31" s="26"/>
      <c r="R31" s="26"/>
      <c r="S31" s="42" t="s">
        <v>89</v>
      </c>
      <c r="T31" s="42" t="s">
        <v>90</v>
      </c>
      <c r="U31" s="42" t="s">
        <v>91</v>
      </c>
      <c r="V31" s="42" t="s">
        <v>92</v>
      </c>
      <c r="W31" s="42">
        <v>3209</v>
      </c>
      <c r="X31" s="42">
        <v>1</v>
      </c>
      <c r="Y31" s="42" t="s">
        <v>93</v>
      </c>
      <c r="Z31" s="43" t="s">
        <v>94</v>
      </c>
      <c r="AA31" s="43" t="s">
        <v>95</v>
      </c>
      <c r="AB31" s="44" t="s">
        <v>96</v>
      </c>
      <c r="AC31" s="44" t="s">
        <v>97</v>
      </c>
      <c r="AD31" s="43">
        <v>200</v>
      </c>
      <c r="AE31" s="44">
        <v>200</v>
      </c>
      <c r="AF31" s="32"/>
      <c r="AG31" s="26">
        <v>200</v>
      </c>
      <c r="AH31" s="26"/>
      <c r="AI31" s="38" t="s">
        <v>120</v>
      </c>
      <c r="AJ31" s="32"/>
      <c r="AK31" s="63">
        <v>101</v>
      </c>
      <c r="AL31" s="64">
        <f t="shared" ref="AL31" si="4">AE31*AK31</f>
        <v>20200</v>
      </c>
      <c r="AM31" s="65">
        <v>0.22</v>
      </c>
      <c r="AN31" s="66">
        <v>140</v>
      </c>
      <c r="AO31" s="56" t="s">
        <v>121</v>
      </c>
      <c r="AP31" s="67">
        <v>12</v>
      </c>
      <c r="AQ31" s="68">
        <v>46297</v>
      </c>
      <c r="AR31" s="26"/>
      <c r="AS31" s="26"/>
      <c r="AT31" s="26"/>
      <c r="AU31" s="26"/>
      <c r="AV31" s="69" t="s">
        <v>100</v>
      </c>
      <c r="AW31" s="35"/>
      <c r="AX31" s="35"/>
      <c r="AY31" s="29"/>
      <c r="AZ31" s="29"/>
      <c r="BA31" s="35">
        <v>46297</v>
      </c>
      <c r="BB31" s="68">
        <v>46298</v>
      </c>
      <c r="BC31" s="39" t="s">
        <v>119</v>
      </c>
      <c r="BD31" s="48" t="s">
        <v>123</v>
      </c>
    </row>
    <row r="32" spans="1:56" ht="13" x14ac:dyDescent="0.3">
      <c r="A32" s="26"/>
      <c r="B32" s="26">
        <v>1</v>
      </c>
      <c r="C32" s="26"/>
      <c r="D32" s="27"/>
      <c r="E32" s="26"/>
      <c r="F32" s="40">
        <v>46297</v>
      </c>
      <c r="G32" s="41">
        <v>1</v>
      </c>
      <c r="H32" s="42">
        <v>309</v>
      </c>
      <c r="I32" s="42" t="s">
        <v>87</v>
      </c>
      <c r="J32" s="42">
        <v>235</v>
      </c>
      <c r="K32" s="43" t="s">
        <v>88</v>
      </c>
      <c r="L32" s="26"/>
      <c r="M32" s="26"/>
      <c r="N32" s="26"/>
      <c r="O32" s="26"/>
      <c r="P32" s="26"/>
      <c r="Q32" s="26"/>
      <c r="R32" s="26"/>
      <c r="S32" s="42" t="s">
        <v>89</v>
      </c>
      <c r="T32" s="42" t="s">
        <v>90</v>
      </c>
      <c r="U32" s="42" t="s">
        <v>91</v>
      </c>
      <c r="V32" s="42" t="s">
        <v>92</v>
      </c>
      <c r="W32" s="42">
        <v>3209</v>
      </c>
      <c r="X32" s="42">
        <v>1</v>
      </c>
      <c r="Y32" s="42" t="s">
        <v>93</v>
      </c>
      <c r="Z32" s="75" t="s">
        <v>94</v>
      </c>
      <c r="AA32" s="75" t="s">
        <v>95</v>
      </c>
      <c r="AB32" s="44" t="s">
        <v>96</v>
      </c>
      <c r="AC32" s="45" t="s">
        <v>97</v>
      </c>
      <c r="AD32" s="43">
        <v>200</v>
      </c>
      <c r="AE32" s="46">
        <v>200</v>
      </c>
      <c r="AF32" s="32"/>
      <c r="AG32" s="26"/>
      <c r="AH32" s="26"/>
      <c r="AI32" s="38" t="s">
        <v>128</v>
      </c>
      <c r="AJ32" s="32"/>
      <c r="AK32" s="59">
        <v>101</v>
      </c>
      <c r="AL32" s="64">
        <f t="shared" ref="AL32:AL33" si="5">AE32*AK32</f>
        <v>20200</v>
      </c>
      <c r="AM32" s="50">
        <v>0.22</v>
      </c>
      <c r="AN32" s="66">
        <v>140</v>
      </c>
      <c r="AO32" s="70" t="s">
        <v>121</v>
      </c>
      <c r="AP32" s="67">
        <v>12</v>
      </c>
      <c r="AQ32" s="68">
        <v>46297</v>
      </c>
      <c r="AR32" s="26"/>
      <c r="AS32" s="26"/>
      <c r="AT32" s="26"/>
      <c r="AU32" s="26"/>
      <c r="AV32" s="49" t="s">
        <v>100</v>
      </c>
      <c r="AW32" s="71">
        <v>46298</v>
      </c>
      <c r="AX32" s="71">
        <v>46297</v>
      </c>
      <c r="AY32" s="72">
        <v>658</v>
      </c>
      <c r="AZ32" s="29"/>
      <c r="BA32" s="35">
        <v>46297</v>
      </c>
      <c r="BB32" s="68">
        <v>46298</v>
      </c>
      <c r="BC32" s="39" t="s">
        <v>119</v>
      </c>
      <c r="BD32" s="48" t="s">
        <v>124</v>
      </c>
    </row>
    <row r="33" spans="1:56" ht="13" x14ac:dyDescent="0.3">
      <c r="A33" s="26"/>
      <c r="B33" s="26">
        <v>1</v>
      </c>
      <c r="C33" s="26"/>
      <c r="D33" s="27"/>
      <c r="E33" s="26"/>
      <c r="F33" s="40">
        <v>46297</v>
      </c>
      <c r="G33" s="41">
        <v>1</v>
      </c>
      <c r="H33" s="42">
        <v>309</v>
      </c>
      <c r="I33" s="42" t="s">
        <v>87</v>
      </c>
      <c r="J33" s="42">
        <v>235</v>
      </c>
      <c r="K33" s="43" t="s">
        <v>88</v>
      </c>
      <c r="L33" s="26"/>
      <c r="M33" s="26"/>
      <c r="N33" s="26"/>
      <c r="O33" s="26"/>
      <c r="P33" s="26"/>
      <c r="Q33" s="26"/>
      <c r="R33" s="26"/>
      <c r="S33" s="42" t="s">
        <v>89</v>
      </c>
      <c r="T33" s="42" t="s">
        <v>90</v>
      </c>
      <c r="U33" s="42" t="s">
        <v>91</v>
      </c>
      <c r="V33" s="42" t="s">
        <v>92</v>
      </c>
      <c r="W33" s="42">
        <v>3209</v>
      </c>
      <c r="X33" s="42">
        <v>1</v>
      </c>
      <c r="Y33" s="42" t="s">
        <v>93</v>
      </c>
      <c r="Z33" s="43" t="s">
        <v>94</v>
      </c>
      <c r="AA33" s="43" t="s">
        <v>95</v>
      </c>
      <c r="AB33" s="44" t="s">
        <v>96</v>
      </c>
      <c r="AC33" s="44" t="s">
        <v>97</v>
      </c>
      <c r="AD33" s="43">
        <v>200</v>
      </c>
      <c r="AE33" s="44">
        <v>200</v>
      </c>
      <c r="AF33" s="32"/>
      <c r="AG33" s="26"/>
      <c r="AH33" s="26"/>
      <c r="AI33" s="78" t="s">
        <v>131</v>
      </c>
      <c r="AJ33" s="79"/>
      <c r="AK33" s="63">
        <v>101</v>
      </c>
      <c r="AL33" s="64">
        <f t="shared" si="5"/>
        <v>20200</v>
      </c>
      <c r="AM33" s="65">
        <v>0.22</v>
      </c>
      <c r="AN33" s="66">
        <v>140</v>
      </c>
      <c r="AO33" s="70" t="s">
        <v>121</v>
      </c>
      <c r="AP33" s="67">
        <v>12</v>
      </c>
      <c r="AQ33" s="68">
        <v>46297</v>
      </c>
      <c r="AR33" s="26"/>
      <c r="AS33" s="26"/>
      <c r="AT33" s="26"/>
      <c r="AU33" s="26"/>
      <c r="AV33" s="69" t="s">
        <v>100</v>
      </c>
      <c r="AW33" s="76">
        <v>46298</v>
      </c>
      <c r="AX33" s="76">
        <v>46297</v>
      </c>
      <c r="AY33" s="41">
        <v>658</v>
      </c>
      <c r="AZ33" s="29"/>
      <c r="BA33" s="35">
        <v>46297</v>
      </c>
      <c r="BB33" s="68">
        <v>46298</v>
      </c>
      <c r="BC33" s="39" t="s">
        <v>119</v>
      </c>
      <c r="BD33" s="48" t="s">
        <v>132</v>
      </c>
    </row>
    <row r="34" spans="1:56" ht="13" x14ac:dyDescent="0.3">
      <c r="A34" s="26"/>
      <c r="B34" s="26">
        <v>1</v>
      </c>
      <c r="C34" s="26"/>
      <c r="D34" s="27"/>
      <c r="E34" s="26"/>
      <c r="F34" s="40">
        <v>46297</v>
      </c>
      <c r="G34" s="41">
        <v>1</v>
      </c>
      <c r="H34" s="42">
        <v>309</v>
      </c>
      <c r="I34" s="42" t="s">
        <v>87</v>
      </c>
      <c r="J34" s="42">
        <v>235</v>
      </c>
      <c r="K34" s="43" t="s">
        <v>88</v>
      </c>
      <c r="L34" s="26"/>
      <c r="M34" s="26"/>
      <c r="N34" s="26"/>
      <c r="O34" s="26"/>
      <c r="P34" s="26"/>
      <c r="Q34" s="26"/>
      <c r="R34" s="26"/>
      <c r="S34" s="42" t="s">
        <v>89</v>
      </c>
      <c r="T34" s="42" t="s">
        <v>90</v>
      </c>
      <c r="U34" s="42" t="s">
        <v>91</v>
      </c>
      <c r="V34" s="42" t="s">
        <v>92</v>
      </c>
      <c r="W34" s="42">
        <v>3209</v>
      </c>
      <c r="X34" s="42">
        <v>1</v>
      </c>
      <c r="Y34" s="42" t="s">
        <v>93</v>
      </c>
      <c r="Z34" s="43" t="s">
        <v>94</v>
      </c>
      <c r="AA34" s="43" t="s">
        <v>95</v>
      </c>
      <c r="AB34" s="44" t="s">
        <v>96</v>
      </c>
      <c r="AC34" s="44" t="s">
        <v>97</v>
      </c>
      <c r="AD34" s="43">
        <v>200</v>
      </c>
      <c r="AE34" s="44">
        <v>200</v>
      </c>
      <c r="AF34" s="32"/>
      <c r="AG34" s="26"/>
      <c r="AH34" s="26"/>
      <c r="AI34" s="38" t="s">
        <v>129</v>
      </c>
      <c r="AJ34" s="77" t="s">
        <v>126</v>
      </c>
      <c r="AK34" s="63">
        <v>101</v>
      </c>
      <c r="AL34" s="64">
        <f t="shared" ref="AL34" si="6">AE34*AK34</f>
        <v>20200</v>
      </c>
      <c r="AM34" s="65">
        <v>0.22</v>
      </c>
      <c r="AN34" s="66">
        <v>140</v>
      </c>
      <c r="AO34" s="70" t="s">
        <v>121</v>
      </c>
      <c r="AP34" s="67">
        <v>12</v>
      </c>
      <c r="AQ34" s="68">
        <v>46297</v>
      </c>
      <c r="AR34" s="26"/>
      <c r="AS34" s="26"/>
      <c r="AT34" s="26"/>
      <c r="AU34" s="26"/>
      <c r="AV34" s="69" t="s">
        <v>100</v>
      </c>
      <c r="AW34" s="76">
        <v>46298</v>
      </c>
      <c r="AX34" s="76">
        <v>46297</v>
      </c>
      <c r="AY34" s="41">
        <v>658</v>
      </c>
      <c r="AZ34" s="29"/>
      <c r="BA34" s="35">
        <v>46297</v>
      </c>
      <c r="BB34" s="68">
        <v>46298</v>
      </c>
      <c r="BC34" s="39" t="s">
        <v>119</v>
      </c>
      <c r="BD34" s="48" t="s">
        <v>127</v>
      </c>
    </row>
    <row r="35" spans="1:56" ht="13" x14ac:dyDescent="0.3">
      <c r="A35" s="26"/>
      <c r="B35" s="26">
        <v>1</v>
      </c>
      <c r="C35" s="26"/>
      <c r="D35" s="27"/>
      <c r="E35" s="26"/>
      <c r="F35" s="40">
        <v>46297</v>
      </c>
      <c r="G35" s="41">
        <v>1</v>
      </c>
      <c r="H35" s="42">
        <v>309</v>
      </c>
      <c r="I35" s="42" t="s">
        <v>87</v>
      </c>
      <c r="J35" s="42">
        <v>235</v>
      </c>
      <c r="K35" s="43" t="s">
        <v>88</v>
      </c>
      <c r="L35" s="26"/>
      <c r="M35" s="26"/>
      <c r="N35" s="26"/>
      <c r="O35" s="26"/>
      <c r="P35" s="26"/>
      <c r="Q35" s="26"/>
      <c r="R35" s="26"/>
      <c r="S35" s="42" t="s">
        <v>89</v>
      </c>
      <c r="T35" s="42" t="s">
        <v>90</v>
      </c>
      <c r="U35" s="42" t="s">
        <v>91</v>
      </c>
      <c r="V35" s="42" t="s">
        <v>92</v>
      </c>
      <c r="W35" s="42">
        <v>3209</v>
      </c>
      <c r="X35" s="42">
        <v>1</v>
      </c>
      <c r="Y35" s="42" t="s">
        <v>93</v>
      </c>
      <c r="Z35" s="43" t="s">
        <v>94</v>
      </c>
      <c r="AA35" s="43" t="s">
        <v>95</v>
      </c>
      <c r="AB35" s="44" t="s">
        <v>96</v>
      </c>
      <c r="AC35" s="44" t="s">
        <v>97</v>
      </c>
      <c r="AD35" s="43">
        <v>200</v>
      </c>
      <c r="AE35" s="44">
        <v>200</v>
      </c>
      <c r="AF35" s="32"/>
      <c r="AG35" s="26"/>
      <c r="AH35" s="26"/>
      <c r="AI35" s="38" t="s">
        <v>130</v>
      </c>
      <c r="AJ35" s="79" t="s">
        <v>126</v>
      </c>
      <c r="AK35" s="63">
        <v>101</v>
      </c>
      <c r="AL35" s="64">
        <f t="shared" ref="AL35" si="7">AE35*AK35</f>
        <v>20200</v>
      </c>
      <c r="AM35" s="65">
        <v>0.22</v>
      </c>
      <c r="AN35" s="66">
        <v>140</v>
      </c>
      <c r="AO35" s="70" t="s">
        <v>121</v>
      </c>
      <c r="AP35" s="67">
        <v>12</v>
      </c>
      <c r="AQ35" s="68">
        <v>46297</v>
      </c>
      <c r="AR35" s="26"/>
      <c r="AS35" s="57">
        <v>1.5</v>
      </c>
      <c r="AT35" s="61">
        <f t="shared" ref="AT35:AT41" si="8">AN35*AS35</f>
        <v>210</v>
      </c>
      <c r="AU35" s="61">
        <f t="shared" ref="AU35:AU41" si="9">AT35*AD35</f>
        <v>42000</v>
      </c>
      <c r="AV35" s="69" t="s">
        <v>100</v>
      </c>
      <c r="AW35" s="76">
        <v>46298</v>
      </c>
      <c r="AX35" s="76">
        <v>46297</v>
      </c>
      <c r="AY35" s="41">
        <v>658</v>
      </c>
      <c r="AZ35" s="29"/>
      <c r="BA35" s="35">
        <v>46297</v>
      </c>
      <c r="BB35" s="68">
        <v>46298</v>
      </c>
      <c r="BC35" s="39" t="s">
        <v>119</v>
      </c>
      <c r="BD35" s="48" t="s">
        <v>133</v>
      </c>
    </row>
    <row r="36" spans="1:56" ht="13" x14ac:dyDescent="0.3">
      <c r="A36" s="26"/>
      <c r="B36" s="26">
        <v>1</v>
      </c>
      <c r="C36" s="26"/>
      <c r="D36" s="27"/>
      <c r="E36" s="26"/>
      <c r="F36" s="40">
        <v>46297</v>
      </c>
      <c r="G36" s="41">
        <v>1</v>
      </c>
      <c r="H36" s="42">
        <v>309</v>
      </c>
      <c r="I36" s="42" t="s">
        <v>87</v>
      </c>
      <c r="J36" s="42">
        <v>235</v>
      </c>
      <c r="K36" s="43" t="s">
        <v>88</v>
      </c>
      <c r="L36" s="26"/>
      <c r="M36" s="26"/>
      <c r="N36" s="26"/>
      <c r="O36" s="26"/>
      <c r="P36" s="26"/>
      <c r="Q36" s="26"/>
      <c r="R36" s="26"/>
      <c r="S36" s="42" t="s">
        <v>89</v>
      </c>
      <c r="T36" s="42" t="s">
        <v>90</v>
      </c>
      <c r="U36" s="42" t="s">
        <v>91</v>
      </c>
      <c r="V36" s="42" t="s">
        <v>92</v>
      </c>
      <c r="W36" s="42">
        <v>3209</v>
      </c>
      <c r="X36" s="42">
        <v>1</v>
      </c>
      <c r="Y36" s="42" t="s">
        <v>93</v>
      </c>
      <c r="Z36" s="43" t="s">
        <v>94</v>
      </c>
      <c r="AA36" s="43" t="s">
        <v>95</v>
      </c>
      <c r="AB36" s="44" t="s">
        <v>96</v>
      </c>
      <c r="AC36" s="44" t="s">
        <v>97</v>
      </c>
      <c r="AD36" s="43">
        <v>200</v>
      </c>
      <c r="AE36" s="44">
        <v>200</v>
      </c>
      <c r="AF36" s="32"/>
      <c r="AG36" s="26"/>
      <c r="AH36" s="26"/>
      <c r="AI36" s="38" t="s">
        <v>105</v>
      </c>
      <c r="AJ36" s="79" t="s">
        <v>126</v>
      </c>
      <c r="AK36" s="63">
        <v>101</v>
      </c>
      <c r="AL36" s="64">
        <f t="shared" ref="AL36" si="10">AE36*AK36</f>
        <v>20200</v>
      </c>
      <c r="AM36" s="65">
        <v>0.22</v>
      </c>
      <c r="AN36" s="66">
        <v>140</v>
      </c>
      <c r="AO36" s="70" t="s">
        <v>121</v>
      </c>
      <c r="AP36" s="67">
        <v>12</v>
      </c>
      <c r="AQ36" s="68">
        <v>46297</v>
      </c>
      <c r="AR36" s="26"/>
      <c r="AS36" s="57">
        <v>1.5</v>
      </c>
      <c r="AT36" s="61">
        <f t="shared" si="8"/>
        <v>210</v>
      </c>
      <c r="AU36" s="61">
        <f t="shared" si="9"/>
        <v>42000</v>
      </c>
      <c r="AV36" s="69" t="s">
        <v>100</v>
      </c>
      <c r="AW36" s="76">
        <v>46298</v>
      </c>
      <c r="AX36" s="76">
        <v>46297</v>
      </c>
      <c r="AY36" s="41">
        <v>658</v>
      </c>
      <c r="AZ36" s="29"/>
      <c r="BA36" s="35">
        <v>46297</v>
      </c>
      <c r="BB36" s="68">
        <v>46298</v>
      </c>
      <c r="BC36" s="39" t="s">
        <v>119</v>
      </c>
      <c r="BD36" s="62" t="s">
        <v>134</v>
      </c>
    </row>
    <row r="37" spans="1:56" ht="13" x14ac:dyDescent="0.3">
      <c r="A37" s="26"/>
      <c r="B37" s="26">
        <v>1</v>
      </c>
      <c r="C37" s="26"/>
      <c r="D37" s="27"/>
      <c r="E37" s="26"/>
      <c r="F37" s="40">
        <v>46297</v>
      </c>
      <c r="G37" s="41">
        <v>1</v>
      </c>
      <c r="H37" s="42">
        <v>309</v>
      </c>
      <c r="I37" s="42" t="s">
        <v>87</v>
      </c>
      <c r="J37" s="42">
        <v>235</v>
      </c>
      <c r="K37" s="43" t="s">
        <v>88</v>
      </c>
      <c r="L37" s="26"/>
      <c r="M37" s="26"/>
      <c r="N37" s="26"/>
      <c r="O37" s="26"/>
      <c r="P37" s="26"/>
      <c r="Q37" s="26"/>
      <c r="R37" s="26"/>
      <c r="S37" s="42" t="s">
        <v>89</v>
      </c>
      <c r="T37" s="42" t="s">
        <v>90</v>
      </c>
      <c r="U37" s="42" t="s">
        <v>91</v>
      </c>
      <c r="V37" s="42" t="s">
        <v>92</v>
      </c>
      <c r="W37" s="42">
        <v>3209</v>
      </c>
      <c r="X37" s="42">
        <v>1</v>
      </c>
      <c r="Y37" s="42" t="s">
        <v>93</v>
      </c>
      <c r="Z37" s="43" t="s">
        <v>94</v>
      </c>
      <c r="AA37" s="43" t="s">
        <v>95</v>
      </c>
      <c r="AB37" s="44" t="s">
        <v>96</v>
      </c>
      <c r="AC37" s="44" t="s">
        <v>97</v>
      </c>
      <c r="AD37" s="43">
        <v>200</v>
      </c>
      <c r="AE37" s="44">
        <v>200</v>
      </c>
      <c r="AF37" s="32"/>
      <c r="AG37" s="26"/>
      <c r="AH37" s="26"/>
      <c r="AI37" s="24" t="s">
        <v>107</v>
      </c>
      <c r="AJ37" s="79" t="s">
        <v>126</v>
      </c>
      <c r="AK37" s="63">
        <v>101</v>
      </c>
      <c r="AL37" s="64">
        <f t="shared" ref="AL37:AL38" si="11">AE37*AK37</f>
        <v>20200</v>
      </c>
      <c r="AM37" s="65">
        <v>0.22</v>
      </c>
      <c r="AN37" s="66">
        <v>140</v>
      </c>
      <c r="AO37" s="70" t="s">
        <v>121</v>
      </c>
      <c r="AP37" s="67">
        <v>12</v>
      </c>
      <c r="AQ37" s="68">
        <v>46297</v>
      </c>
      <c r="AR37" s="26"/>
      <c r="AS37" s="67">
        <v>1.5</v>
      </c>
      <c r="AT37" s="66">
        <f t="shared" si="8"/>
        <v>210</v>
      </c>
      <c r="AU37" s="66">
        <f t="shared" si="9"/>
        <v>42000</v>
      </c>
      <c r="AV37" s="69" t="s">
        <v>100</v>
      </c>
      <c r="AW37" s="76">
        <v>46298</v>
      </c>
      <c r="AX37" s="76">
        <v>46297</v>
      </c>
      <c r="AY37" s="41">
        <v>658</v>
      </c>
      <c r="AZ37" s="29"/>
      <c r="BA37" s="35">
        <v>46297</v>
      </c>
      <c r="BB37" s="68">
        <v>46298</v>
      </c>
      <c r="BC37" s="39" t="s">
        <v>119</v>
      </c>
      <c r="BD37" s="62" t="s">
        <v>135</v>
      </c>
    </row>
    <row r="38" spans="1:56" ht="13" x14ac:dyDescent="0.3">
      <c r="A38" s="26"/>
      <c r="B38" s="26">
        <v>1</v>
      </c>
      <c r="C38" s="26"/>
      <c r="D38" s="27"/>
      <c r="E38" s="26"/>
      <c r="F38" s="40">
        <v>46297</v>
      </c>
      <c r="G38" s="41">
        <v>1</v>
      </c>
      <c r="H38" s="42">
        <v>309</v>
      </c>
      <c r="I38" s="42" t="s">
        <v>87</v>
      </c>
      <c r="J38" s="42">
        <v>235</v>
      </c>
      <c r="K38" s="43" t="s">
        <v>88</v>
      </c>
      <c r="L38" s="26"/>
      <c r="M38" s="26"/>
      <c r="N38" s="26"/>
      <c r="O38" s="26"/>
      <c r="P38" s="26"/>
      <c r="Q38" s="26"/>
      <c r="R38" s="26"/>
      <c r="S38" s="42" t="s">
        <v>89</v>
      </c>
      <c r="T38" s="42" t="s">
        <v>90</v>
      </c>
      <c r="U38" s="42" t="s">
        <v>91</v>
      </c>
      <c r="V38" s="42" t="s">
        <v>92</v>
      </c>
      <c r="W38" s="42">
        <v>3209</v>
      </c>
      <c r="X38" s="42">
        <v>1</v>
      </c>
      <c r="Y38" s="42" t="s">
        <v>93</v>
      </c>
      <c r="Z38" s="43" t="s">
        <v>94</v>
      </c>
      <c r="AA38" s="43" t="s">
        <v>95</v>
      </c>
      <c r="AB38" s="44" t="s">
        <v>96</v>
      </c>
      <c r="AC38" s="44" t="s">
        <v>97</v>
      </c>
      <c r="AD38" s="43">
        <v>200</v>
      </c>
      <c r="AE38" s="44">
        <v>200</v>
      </c>
      <c r="AF38" s="32"/>
      <c r="AG38" s="26"/>
      <c r="AH38" s="26"/>
      <c r="AI38" s="24" t="s">
        <v>108</v>
      </c>
      <c r="AJ38" s="79" t="s">
        <v>126</v>
      </c>
      <c r="AK38" s="63">
        <v>101</v>
      </c>
      <c r="AL38" s="64">
        <f t="shared" si="11"/>
        <v>20200</v>
      </c>
      <c r="AM38" s="65">
        <v>0.22</v>
      </c>
      <c r="AN38" s="66">
        <v>140</v>
      </c>
      <c r="AO38" s="70" t="s">
        <v>121</v>
      </c>
      <c r="AP38" s="67">
        <v>12</v>
      </c>
      <c r="AQ38" s="68">
        <v>46297</v>
      </c>
      <c r="AR38" s="26"/>
      <c r="AS38" s="57">
        <v>1.5</v>
      </c>
      <c r="AT38" s="61">
        <f t="shared" si="8"/>
        <v>210</v>
      </c>
      <c r="AU38" s="61">
        <f t="shared" si="9"/>
        <v>42000</v>
      </c>
      <c r="AV38" s="69" t="s">
        <v>100</v>
      </c>
      <c r="AW38" s="76">
        <v>46298</v>
      </c>
      <c r="AX38" s="76">
        <v>46297</v>
      </c>
      <c r="AY38" s="41">
        <v>658</v>
      </c>
      <c r="AZ38" s="29"/>
      <c r="BA38" s="35">
        <v>46297</v>
      </c>
      <c r="BB38" s="68">
        <v>46298</v>
      </c>
      <c r="BC38" s="39" t="s">
        <v>119</v>
      </c>
      <c r="BD38" s="48" t="s">
        <v>136</v>
      </c>
    </row>
    <row r="39" spans="1:56" ht="13" x14ac:dyDescent="0.3">
      <c r="A39" s="26"/>
      <c r="B39" s="26">
        <v>1</v>
      </c>
      <c r="C39" s="26"/>
      <c r="D39" s="82">
        <v>46297</v>
      </c>
      <c r="E39" s="57">
        <v>1</v>
      </c>
      <c r="F39" s="40">
        <v>46297</v>
      </c>
      <c r="G39" s="41">
        <v>1</v>
      </c>
      <c r="H39" s="42">
        <v>309</v>
      </c>
      <c r="I39" s="42" t="s">
        <v>87</v>
      </c>
      <c r="J39" s="42">
        <v>235</v>
      </c>
      <c r="K39" s="43" t="s">
        <v>88</v>
      </c>
      <c r="L39" s="26"/>
      <c r="M39" s="26"/>
      <c r="N39" s="26"/>
      <c r="O39" s="26"/>
      <c r="P39" s="26"/>
      <c r="Q39" s="26"/>
      <c r="R39" s="26"/>
      <c r="S39" s="42" t="s">
        <v>89</v>
      </c>
      <c r="T39" s="42" t="s">
        <v>90</v>
      </c>
      <c r="U39" s="42" t="s">
        <v>91</v>
      </c>
      <c r="V39" s="42" t="s">
        <v>92</v>
      </c>
      <c r="W39" s="42">
        <v>3209</v>
      </c>
      <c r="X39" s="42">
        <v>1</v>
      </c>
      <c r="Y39" s="42" t="s">
        <v>93</v>
      </c>
      <c r="Z39" s="43" t="s">
        <v>94</v>
      </c>
      <c r="AA39" s="43" t="s">
        <v>95</v>
      </c>
      <c r="AB39" s="44" t="s">
        <v>96</v>
      </c>
      <c r="AC39" s="44" t="s">
        <v>97</v>
      </c>
      <c r="AD39" s="43">
        <v>200</v>
      </c>
      <c r="AE39" s="44">
        <v>200</v>
      </c>
      <c r="AF39" s="32"/>
      <c r="AG39" s="26"/>
      <c r="AH39" s="26"/>
      <c r="AI39" s="24" t="s">
        <v>110</v>
      </c>
      <c r="AJ39" s="79" t="s">
        <v>126</v>
      </c>
      <c r="AK39" s="63">
        <v>101</v>
      </c>
      <c r="AL39" s="64">
        <f t="shared" ref="AL39:AL41" si="12">AE39*AK39</f>
        <v>20200</v>
      </c>
      <c r="AM39" s="65">
        <v>0.22</v>
      </c>
      <c r="AN39" s="66">
        <v>140</v>
      </c>
      <c r="AO39" s="70" t="s">
        <v>121</v>
      </c>
      <c r="AP39" s="67">
        <v>12</v>
      </c>
      <c r="AQ39" s="68">
        <v>46297</v>
      </c>
      <c r="AR39" s="26"/>
      <c r="AS39" s="57">
        <v>1.5</v>
      </c>
      <c r="AT39" s="61">
        <f t="shared" si="8"/>
        <v>210</v>
      </c>
      <c r="AU39" s="61">
        <f t="shared" si="9"/>
        <v>42000</v>
      </c>
      <c r="AV39" s="69" t="s">
        <v>100</v>
      </c>
      <c r="AW39" s="76">
        <v>46298</v>
      </c>
      <c r="AX39" s="76">
        <v>46297</v>
      </c>
      <c r="AY39" s="41">
        <v>658</v>
      </c>
      <c r="AZ39" s="29"/>
      <c r="BA39" s="35">
        <v>46297</v>
      </c>
      <c r="BB39" s="68">
        <v>46298</v>
      </c>
      <c r="BC39" s="39" t="s">
        <v>119</v>
      </c>
      <c r="BD39" s="48" t="s">
        <v>137</v>
      </c>
    </row>
    <row r="40" spans="1:56" ht="13" x14ac:dyDescent="0.3">
      <c r="A40" s="26"/>
      <c r="B40" s="26">
        <v>1</v>
      </c>
      <c r="C40" s="26"/>
      <c r="D40" s="127">
        <v>46297</v>
      </c>
      <c r="E40" s="126">
        <v>1</v>
      </c>
      <c r="F40" s="40">
        <v>46297</v>
      </c>
      <c r="G40" s="41">
        <v>1</v>
      </c>
      <c r="H40" s="42">
        <v>309</v>
      </c>
      <c r="I40" s="42" t="s">
        <v>87</v>
      </c>
      <c r="J40" s="42">
        <v>235</v>
      </c>
      <c r="K40" s="43" t="s">
        <v>88</v>
      </c>
      <c r="L40" s="26"/>
      <c r="M40" s="26"/>
      <c r="N40" s="26"/>
      <c r="O40" s="26"/>
      <c r="P40" s="26"/>
      <c r="Q40" s="26"/>
      <c r="R40" s="26"/>
      <c r="S40" s="42" t="s">
        <v>89</v>
      </c>
      <c r="T40" s="42" t="s">
        <v>90</v>
      </c>
      <c r="U40" s="42" t="s">
        <v>91</v>
      </c>
      <c r="V40" s="42" t="s">
        <v>92</v>
      </c>
      <c r="W40" s="42">
        <v>3209</v>
      </c>
      <c r="X40" s="42">
        <v>1</v>
      </c>
      <c r="Y40" s="42" t="s">
        <v>93</v>
      </c>
      <c r="Z40" s="43" t="s">
        <v>94</v>
      </c>
      <c r="AA40" s="43" t="s">
        <v>95</v>
      </c>
      <c r="AB40" s="44" t="s">
        <v>96</v>
      </c>
      <c r="AC40" s="44" t="s">
        <v>97</v>
      </c>
      <c r="AD40" s="43">
        <v>200</v>
      </c>
      <c r="AE40" s="44">
        <v>200</v>
      </c>
      <c r="AF40" s="32"/>
      <c r="AG40" s="26"/>
      <c r="AH40" s="26"/>
      <c r="AI40" s="24" t="s">
        <v>112</v>
      </c>
      <c r="AJ40" s="79" t="s">
        <v>126</v>
      </c>
      <c r="AK40" s="63">
        <v>101</v>
      </c>
      <c r="AL40" s="64">
        <f t="shared" si="12"/>
        <v>20200</v>
      </c>
      <c r="AM40" s="65">
        <v>0.22</v>
      </c>
      <c r="AN40" s="66">
        <v>140</v>
      </c>
      <c r="AO40" s="70" t="s">
        <v>121</v>
      </c>
      <c r="AP40" s="67">
        <v>12</v>
      </c>
      <c r="AQ40" s="68">
        <v>46297</v>
      </c>
      <c r="AR40" s="26"/>
      <c r="AS40" s="67">
        <v>1.5</v>
      </c>
      <c r="AT40" s="66">
        <f t="shared" si="8"/>
        <v>210</v>
      </c>
      <c r="AU40" s="66">
        <f t="shared" si="9"/>
        <v>42000</v>
      </c>
      <c r="AV40" s="69" t="s">
        <v>100</v>
      </c>
      <c r="AW40" s="76">
        <v>46298</v>
      </c>
      <c r="AX40" s="76">
        <v>46297</v>
      </c>
      <c r="AY40" s="41">
        <v>658</v>
      </c>
      <c r="AZ40" s="29"/>
      <c r="BA40" s="35">
        <v>46297</v>
      </c>
      <c r="BB40" s="68">
        <v>46298</v>
      </c>
      <c r="BC40" s="39" t="s">
        <v>119</v>
      </c>
      <c r="BD40" s="22" t="s">
        <v>113</v>
      </c>
    </row>
    <row r="41" spans="1:56" ht="13" x14ac:dyDescent="0.3">
      <c r="A41" s="26"/>
      <c r="B41" s="26">
        <v>1</v>
      </c>
      <c r="C41" s="57"/>
      <c r="D41" s="129">
        <v>46297</v>
      </c>
      <c r="E41" s="128">
        <v>1</v>
      </c>
      <c r="F41" s="40">
        <v>46297</v>
      </c>
      <c r="G41" s="41">
        <v>1</v>
      </c>
      <c r="H41" s="42">
        <v>309</v>
      </c>
      <c r="I41" s="42" t="s">
        <v>87</v>
      </c>
      <c r="J41" s="42">
        <v>235</v>
      </c>
      <c r="K41" s="43" t="s">
        <v>88</v>
      </c>
      <c r="L41" s="26"/>
      <c r="M41" s="26"/>
      <c r="N41" s="26"/>
      <c r="O41" s="26"/>
      <c r="P41" s="26"/>
      <c r="Q41" s="26"/>
      <c r="R41" s="26"/>
      <c r="S41" s="42" t="s">
        <v>89</v>
      </c>
      <c r="T41" s="42" t="s">
        <v>90</v>
      </c>
      <c r="U41" s="42" t="s">
        <v>91</v>
      </c>
      <c r="V41" s="42" t="s">
        <v>92</v>
      </c>
      <c r="W41" s="42">
        <v>3209</v>
      </c>
      <c r="X41" s="42">
        <v>1</v>
      </c>
      <c r="Y41" s="42" t="s">
        <v>93</v>
      </c>
      <c r="Z41" s="43" t="s">
        <v>94</v>
      </c>
      <c r="AA41" s="43" t="s">
        <v>95</v>
      </c>
      <c r="AB41" s="44" t="s">
        <v>96</v>
      </c>
      <c r="AC41" s="44" t="s">
        <v>97</v>
      </c>
      <c r="AD41" s="43">
        <v>200</v>
      </c>
      <c r="AE41" s="44">
        <v>200</v>
      </c>
      <c r="AF41" s="32"/>
      <c r="AG41" s="26"/>
      <c r="AH41" s="26"/>
      <c r="AI41" s="24" t="s">
        <v>114</v>
      </c>
      <c r="AJ41" s="79" t="s">
        <v>126</v>
      </c>
      <c r="AK41" s="63">
        <v>101</v>
      </c>
      <c r="AL41" s="64">
        <f t="shared" si="12"/>
        <v>20200</v>
      </c>
      <c r="AM41" s="65">
        <v>0.22</v>
      </c>
      <c r="AN41" s="66">
        <v>140</v>
      </c>
      <c r="AO41" s="70" t="s">
        <v>121</v>
      </c>
      <c r="AP41" s="67">
        <v>12</v>
      </c>
      <c r="AQ41" s="68">
        <v>46297</v>
      </c>
      <c r="AR41" s="26"/>
      <c r="AS41" s="67">
        <v>1.5</v>
      </c>
      <c r="AT41" s="66">
        <f t="shared" si="8"/>
        <v>210</v>
      </c>
      <c r="AU41" s="66">
        <f t="shared" si="9"/>
        <v>42000</v>
      </c>
      <c r="AV41" s="69" t="s">
        <v>100</v>
      </c>
      <c r="AW41" s="76">
        <v>46298</v>
      </c>
      <c r="AX41" s="76">
        <v>46297</v>
      </c>
      <c r="AY41" s="41">
        <v>658</v>
      </c>
      <c r="AZ41" s="29"/>
      <c r="BA41" s="35">
        <v>46297</v>
      </c>
      <c r="BB41" s="68">
        <v>46298</v>
      </c>
      <c r="BC41" s="39" t="s">
        <v>119</v>
      </c>
      <c r="BD41" s="25" t="s">
        <v>115</v>
      </c>
    </row>
    <row r="42" spans="1: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56" s="55" customFormat="1" ht="219.5" x14ac:dyDescent="0.25">
      <c r="A46" s="51" t="s">
        <v>10</v>
      </c>
      <c r="B46" s="51" t="s">
        <v>11</v>
      </c>
      <c r="C46" s="51" t="s">
        <v>12</v>
      </c>
      <c r="D46" s="51" t="s">
        <v>13</v>
      </c>
      <c r="E46" s="51" t="s">
        <v>14</v>
      </c>
      <c r="F46" s="51" t="s">
        <v>15</v>
      </c>
      <c r="G46" s="51" t="s">
        <v>16</v>
      </c>
      <c r="H46" s="51" t="s">
        <v>17</v>
      </c>
      <c r="I46" s="51" t="s">
        <v>18</v>
      </c>
      <c r="J46" s="51" t="s">
        <v>19</v>
      </c>
      <c r="K46" s="51" t="s">
        <v>20</v>
      </c>
      <c r="L46" s="52" t="s">
        <v>21</v>
      </c>
      <c r="M46" s="52" t="s">
        <v>22</v>
      </c>
      <c r="N46" s="52" t="s">
        <v>23</v>
      </c>
      <c r="O46" s="52" t="s">
        <v>24</v>
      </c>
      <c r="P46" s="52" t="s">
        <v>25</v>
      </c>
      <c r="Q46" s="52" t="s">
        <v>26</v>
      </c>
      <c r="R46" s="52" t="s">
        <v>27</v>
      </c>
      <c r="S46" s="53" t="s">
        <v>28</v>
      </c>
      <c r="T46" s="53" t="s">
        <v>29</v>
      </c>
      <c r="U46" s="53" t="s">
        <v>30</v>
      </c>
      <c r="V46" s="53" t="s">
        <v>31</v>
      </c>
      <c r="W46" s="53" t="s">
        <v>32</v>
      </c>
      <c r="X46" s="53" t="s">
        <v>33</v>
      </c>
      <c r="Y46" s="53" t="s">
        <v>34</v>
      </c>
      <c r="Z46" s="54" t="s">
        <v>35</v>
      </c>
      <c r="AA46" s="54" t="s">
        <v>36</v>
      </c>
      <c r="AB46" s="54" t="s">
        <v>37</v>
      </c>
      <c r="AC46" s="54" t="s">
        <v>38</v>
      </c>
      <c r="AD46" s="54" t="s">
        <v>39</v>
      </c>
      <c r="AE46" s="51" t="s">
        <v>40</v>
      </c>
      <c r="AF46" s="51" t="s">
        <v>41</v>
      </c>
      <c r="AG46" s="51" t="s">
        <v>42</v>
      </c>
      <c r="AH46" s="51" t="s">
        <v>43</v>
      </c>
      <c r="AI46" s="51" t="s">
        <v>44</v>
      </c>
      <c r="AJ46" s="51" t="s">
        <v>45</v>
      </c>
      <c r="AK46" s="51" t="s">
        <v>46</v>
      </c>
      <c r="AL46" s="51" t="s">
        <v>47</v>
      </c>
      <c r="AM46" s="51" t="s">
        <v>48</v>
      </c>
      <c r="AN46" s="51" t="s">
        <v>49</v>
      </c>
      <c r="AO46" s="51" t="s">
        <v>50</v>
      </c>
      <c r="AP46" s="51" t="s">
        <v>51</v>
      </c>
      <c r="AQ46" s="51" t="s">
        <v>52</v>
      </c>
      <c r="AR46" s="51" t="s">
        <v>53</v>
      </c>
      <c r="AS46" s="51" t="s">
        <v>54</v>
      </c>
      <c r="AT46" s="51" t="s">
        <v>55</v>
      </c>
      <c r="AU46" s="51" t="s">
        <v>56</v>
      </c>
      <c r="AV46" s="51" t="s">
        <v>57</v>
      </c>
      <c r="AW46" s="51" t="s">
        <v>58</v>
      </c>
      <c r="AX46" s="51" t="s">
        <v>59</v>
      </c>
      <c r="AY46" s="51" t="s">
        <v>60</v>
      </c>
      <c r="AZ46" s="51" t="s">
        <v>61</v>
      </c>
      <c r="BA46" s="51" t="s">
        <v>62</v>
      </c>
      <c r="BB46" s="51" t="s">
        <v>63</v>
      </c>
      <c r="BC46" s="51" t="s">
        <v>64</v>
      </c>
      <c r="BD46" s="51" t="s">
        <v>65</v>
      </c>
    </row>
    <row r="47" spans="1:56" ht="13" x14ac:dyDescent="0.3">
      <c r="A47" s="26"/>
      <c r="B47" s="26">
        <v>1</v>
      </c>
      <c r="C47" s="26"/>
      <c r="D47" s="27"/>
      <c r="E47" s="26"/>
      <c r="F47" s="28">
        <v>46297</v>
      </c>
      <c r="G47" s="29">
        <v>1</v>
      </c>
      <c r="H47" s="30">
        <v>309</v>
      </c>
      <c r="I47" s="30" t="s">
        <v>87</v>
      </c>
      <c r="J47" s="30">
        <v>235</v>
      </c>
      <c r="K47" s="31" t="s">
        <v>88</v>
      </c>
      <c r="L47" s="26"/>
      <c r="M47" s="26"/>
      <c r="N47" s="26"/>
      <c r="O47" s="26"/>
      <c r="P47" s="26"/>
      <c r="Q47" s="26"/>
      <c r="R47" s="26"/>
      <c r="S47" s="30" t="s">
        <v>89</v>
      </c>
      <c r="T47" s="30" t="s">
        <v>90</v>
      </c>
      <c r="U47" s="30" t="s">
        <v>91</v>
      </c>
      <c r="V47" s="30" t="s">
        <v>92</v>
      </c>
      <c r="W47" s="30">
        <v>3209</v>
      </c>
      <c r="X47" s="30">
        <v>1</v>
      </c>
      <c r="Y47" s="30" t="s">
        <v>93</v>
      </c>
      <c r="Z47" s="31" t="s">
        <v>94</v>
      </c>
      <c r="AA47" s="31" t="s">
        <v>95</v>
      </c>
      <c r="AB47" s="32" t="s">
        <v>96</v>
      </c>
      <c r="AC47" s="32" t="s">
        <v>97</v>
      </c>
      <c r="AD47" s="31">
        <v>200</v>
      </c>
      <c r="AE47" s="32"/>
      <c r="AF47" s="32"/>
      <c r="AG47" s="26"/>
      <c r="AH47" s="26"/>
      <c r="AI47" s="33" t="s">
        <v>98</v>
      </c>
      <c r="AJ47" s="32"/>
      <c r="AK47" s="32"/>
      <c r="AL47" s="23">
        <f t="shared" ref="AL47:AL62" si="13">AE47*AK47</f>
        <v>0</v>
      </c>
      <c r="AM47" s="34"/>
      <c r="AN47" s="26"/>
      <c r="AO47" s="26"/>
      <c r="AP47" s="26"/>
      <c r="AQ47" s="26"/>
      <c r="AR47" s="26"/>
      <c r="AS47" s="26"/>
      <c r="AT47" s="26"/>
      <c r="AU47" s="26"/>
      <c r="AV47" s="29"/>
      <c r="AW47" s="35"/>
      <c r="AX47" s="35"/>
      <c r="AY47" s="29"/>
      <c r="AZ47" s="29"/>
      <c r="BA47" s="35"/>
      <c r="BB47" s="26"/>
      <c r="BC47" s="39" t="s">
        <v>140</v>
      </c>
      <c r="BD47" s="26" t="s">
        <v>103</v>
      </c>
    </row>
    <row r="48" spans="1:56" ht="13" x14ac:dyDescent="0.3">
      <c r="A48" s="26"/>
      <c r="B48" s="26">
        <v>1</v>
      </c>
      <c r="C48" s="26"/>
      <c r="D48" s="27"/>
      <c r="E48" s="26"/>
      <c r="F48" s="40">
        <v>46297</v>
      </c>
      <c r="G48" s="41">
        <v>1</v>
      </c>
      <c r="H48" s="42">
        <v>309</v>
      </c>
      <c r="I48" s="42" t="s">
        <v>87</v>
      </c>
      <c r="J48" s="42">
        <v>235</v>
      </c>
      <c r="K48" s="43" t="s">
        <v>88</v>
      </c>
      <c r="L48" s="26"/>
      <c r="M48" s="26"/>
      <c r="N48" s="26"/>
      <c r="O48" s="26"/>
      <c r="P48" s="26"/>
      <c r="Q48" s="26"/>
      <c r="R48" s="26"/>
      <c r="S48" s="42" t="s">
        <v>89</v>
      </c>
      <c r="T48" s="42" t="s">
        <v>90</v>
      </c>
      <c r="U48" s="42" t="s">
        <v>91</v>
      </c>
      <c r="V48" s="42" t="s">
        <v>92</v>
      </c>
      <c r="W48" s="42">
        <v>3209</v>
      </c>
      <c r="X48" s="42">
        <v>1</v>
      </c>
      <c r="Y48" s="42" t="s">
        <v>93</v>
      </c>
      <c r="Z48" s="43" t="s">
        <v>94</v>
      </c>
      <c r="AA48" s="43" t="s">
        <v>95</v>
      </c>
      <c r="AB48" s="44" t="s">
        <v>96</v>
      </c>
      <c r="AC48" s="44" t="s">
        <v>97</v>
      </c>
      <c r="AD48" s="43">
        <v>200</v>
      </c>
      <c r="AE48" s="44">
        <v>200</v>
      </c>
      <c r="AF48" s="32"/>
      <c r="AG48" s="26">
        <v>200</v>
      </c>
      <c r="AH48" s="26"/>
      <c r="AI48" s="38" t="s">
        <v>120</v>
      </c>
      <c r="AJ48" s="32"/>
      <c r="AK48" s="59">
        <v>101</v>
      </c>
      <c r="AL48" s="60">
        <f t="shared" si="13"/>
        <v>20200</v>
      </c>
      <c r="AM48" s="50">
        <v>0.22</v>
      </c>
      <c r="AN48" s="61">
        <v>140</v>
      </c>
      <c r="AO48" s="62"/>
      <c r="AP48" s="57">
        <v>12</v>
      </c>
      <c r="AQ48" s="58">
        <v>46297</v>
      </c>
      <c r="AR48" s="26"/>
      <c r="AS48" s="26"/>
      <c r="AT48" s="26"/>
      <c r="AU48" s="26"/>
      <c r="AV48" s="49" t="s">
        <v>100</v>
      </c>
      <c r="AW48" s="35"/>
      <c r="AX48" s="35"/>
      <c r="AY48" s="29"/>
      <c r="AZ48" s="29"/>
      <c r="BA48" s="35">
        <v>46297</v>
      </c>
      <c r="BB48" s="58">
        <v>46298</v>
      </c>
      <c r="BC48" s="39" t="s">
        <v>140</v>
      </c>
      <c r="BD48" s="48" t="s">
        <v>122</v>
      </c>
    </row>
    <row r="49" spans="1:56" ht="13" x14ac:dyDescent="0.3">
      <c r="A49" s="26"/>
      <c r="B49" s="26">
        <v>1</v>
      </c>
      <c r="C49" s="26"/>
      <c r="D49" s="27"/>
      <c r="E49" s="26"/>
      <c r="F49" s="40">
        <v>46297</v>
      </c>
      <c r="G49" s="41">
        <v>1</v>
      </c>
      <c r="H49" s="42">
        <v>309</v>
      </c>
      <c r="I49" s="42" t="s">
        <v>87</v>
      </c>
      <c r="J49" s="42">
        <v>235</v>
      </c>
      <c r="K49" s="43" t="s">
        <v>88</v>
      </c>
      <c r="L49" s="26"/>
      <c r="M49" s="26"/>
      <c r="N49" s="26"/>
      <c r="O49" s="26"/>
      <c r="P49" s="26"/>
      <c r="Q49" s="26"/>
      <c r="R49" s="26"/>
      <c r="S49" s="42" t="s">
        <v>89</v>
      </c>
      <c r="T49" s="42" t="s">
        <v>90</v>
      </c>
      <c r="U49" s="42" t="s">
        <v>91</v>
      </c>
      <c r="V49" s="42" t="s">
        <v>92</v>
      </c>
      <c r="W49" s="42">
        <v>3209</v>
      </c>
      <c r="X49" s="42">
        <v>1</v>
      </c>
      <c r="Y49" s="42" t="s">
        <v>93</v>
      </c>
      <c r="Z49" s="43" t="s">
        <v>94</v>
      </c>
      <c r="AA49" s="43" t="s">
        <v>95</v>
      </c>
      <c r="AB49" s="44" t="s">
        <v>96</v>
      </c>
      <c r="AC49" s="44" t="s">
        <v>97</v>
      </c>
      <c r="AD49" s="43">
        <v>200</v>
      </c>
      <c r="AE49" s="44">
        <v>200</v>
      </c>
      <c r="AF49" s="32"/>
      <c r="AG49" s="26">
        <v>200</v>
      </c>
      <c r="AH49" s="26"/>
      <c r="AI49" s="38" t="s">
        <v>120</v>
      </c>
      <c r="AJ49" s="32"/>
      <c r="AK49" s="63">
        <v>101</v>
      </c>
      <c r="AL49" s="64">
        <f t="shared" si="13"/>
        <v>20200</v>
      </c>
      <c r="AM49" s="65">
        <v>0.22</v>
      </c>
      <c r="AN49" s="66">
        <v>140</v>
      </c>
      <c r="AO49" s="56" t="s">
        <v>121</v>
      </c>
      <c r="AP49" s="67">
        <v>12</v>
      </c>
      <c r="AQ49" s="68">
        <v>46297</v>
      </c>
      <c r="AR49" s="26"/>
      <c r="AS49" s="26"/>
      <c r="AT49" s="26"/>
      <c r="AU49" s="26"/>
      <c r="AV49" s="69" t="s">
        <v>100</v>
      </c>
      <c r="AW49" s="35"/>
      <c r="AX49" s="35"/>
      <c r="AY49" s="29"/>
      <c r="AZ49" s="29"/>
      <c r="BA49" s="35">
        <v>46297</v>
      </c>
      <c r="BB49" s="68">
        <v>46298</v>
      </c>
      <c r="BC49" s="39" t="s">
        <v>140</v>
      </c>
      <c r="BD49" s="48" t="s">
        <v>123</v>
      </c>
    </row>
    <row r="50" spans="1:56" ht="13" x14ac:dyDescent="0.3">
      <c r="A50" s="26"/>
      <c r="B50" s="26">
        <v>1</v>
      </c>
      <c r="C50" s="26"/>
      <c r="D50" s="27"/>
      <c r="E50" s="26"/>
      <c r="F50" s="40">
        <v>46297</v>
      </c>
      <c r="G50" s="41">
        <v>1</v>
      </c>
      <c r="H50" s="42">
        <v>309</v>
      </c>
      <c r="I50" s="42" t="s">
        <v>87</v>
      </c>
      <c r="J50" s="42">
        <v>235</v>
      </c>
      <c r="K50" s="43" t="s">
        <v>88</v>
      </c>
      <c r="L50" s="26"/>
      <c r="M50" s="26"/>
      <c r="N50" s="26"/>
      <c r="O50" s="26"/>
      <c r="P50" s="26"/>
      <c r="Q50" s="26"/>
      <c r="R50" s="26"/>
      <c r="S50" s="42" t="s">
        <v>89</v>
      </c>
      <c r="T50" s="42" t="s">
        <v>90</v>
      </c>
      <c r="U50" s="42" t="s">
        <v>91</v>
      </c>
      <c r="V50" s="42" t="s">
        <v>92</v>
      </c>
      <c r="W50" s="42">
        <v>3209</v>
      </c>
      <c r="X50" s="42">
        <v>1</v>
      </c>
      <c r="Y50" s="42" t="s">
        <v>93</v>
      </c>
      <c r="Z50" s="75" t="s">
        <v>94</v>
      </c>
      <c r="AA50" s="75" t="s">
        <v>95</v>
      </c>
      <c r="AB50" s="44" t="s">
        <v>96</v>
      </c>
      <c r="AC50" s="45" t="s">
        <v>97</v>
      </c>
      <c r="AD50" s="43">
        <v>200</v>
      </c>
      <c r="AE50" s="46">
        <v>200</v>
      </c>
      <c r="AF50" s="32"/>
      <c r="AG50" s="26"/>
      <c r="AH50" s="26"/>
      <c r="AI50" s="38" t="s">
        <v>128</v>
      </c>
      <c r="AJ50" s="32"/>
      <c r="AK50" s="59">
        <v>101</v>
      </c>
      <c r="AL50" s="64">
        <f t="shared" si="13"/>
        <v>20200</v>
      </c>
      <c r="AM50" s="50">
        <v>0.22</v>
      </c>
      <c r="AN50" s="66">
        <v>140</v>
      </c>
      <c r="AO50" s="70" t="s">
        <v>121</v>
      </c>
      <c r="AP50" s="67">
        <v>12</v>
      </c>
      <c r="AQ50" s="68">
        <v>46297</v>
      </c>
      <c r="AR50" s="26"/>
      <c r="AS50" s="26"/>
      <c r="AT50" s="26"/>
      <c r="AU50" s="26"/>
      <c r="AV50" s="49" t="s">
        <v>100</v>
      </c>
      <c r="AW50" s="71">
        <v>46298</v>
      </c>
      <c r="AX50" s="71">
        <v>46297</v>
      </c>
      <c r="AY50" s="72">
        <v>658</v>
      </c>
      <c r="AZ50" s="29"/>
      <c r="BA50" s="35">
        <v>46297</v>
      </c>
      <c r="BB50" s="68">
        <v>46298</v>
      </c>
      <c r="BC50" s="39" t="s">
        <v>140</v>
      </c>
      <c r="BD50" s="48" t="s">
        <v>124</v>
      </c>
    </row>
    <row r="51" spans="1:56" ht="13" x14ac:dyDescent="0.3">
      <c r="A51" s="26"/>
      <c r="B51" s="26">
        <v>1</v>
      </c>
      <c r="C51" s="26"/>
      <c r="D51" s="27"/>
      <c r="E51" s="26"/>
      <c r="F51" s="40">
        <v>46297</v>
      </c>
      <c r="G51" s="41">
        <v>1</v>
      </c>
      <c r="H51" s="42">
        <v>309</v>
      </c>
      <c r="I51" s="42" t="s">
        <v>87</v>
      </c>
      <c r="J51" s="42">
        <v>235</v>
      </c>
      <c r="K51" s="43" t="s">
        <v>88</v>
      </c>
      <c r="L51" s="26"/>
      <c r="M51" s="26"/>
      <c r="N51" s="26"/>
      <c r="O51" s="26"/>
      <c r="P51" s="26"/>
      <c r="Q51" s="26"/>
      <c r="R51" s="26"/>
      <c r="S51" s="42" t="s">
        <v>89</v>
      </c>
      <c r="T51" s="42" t="s">
        <v>90</v>
      </c>
      <c r="U51" s="42" t="s">
        <v>91</v>
      </c>
      <c r="V51" s="42" t="s">
        <v>92</v>
      </c>
      <c r="W51" s="42">
        <v>3209</v>
      </c>
      <c r="X51" s="42">
        <v>1</v>
      </c>
      <c r="Y51" s="42" t="s">
        <v>93</v>
      </c>
      <c r="Z51" s="43" t="s">
        <v>94</v>
      </c>
      <c r="AA51" s="43" t="s">
        <v>95</v>
      </c>
      <c r="AB51" s="44" t="s">
        <v>96</v>
      </c>
      <c r="AC51" s="44" t="s">
        <v>97</v>
      </c>
      <c r="AD51" s="43">
        <v>200</v>
      </c>
      <c r="AE51" s="44">
        <v>200</v>
      </c>
      <c r="AF51" s="32"/>
      <c r="AG51" s="26"/>
      <c r="AH51" s="26"/>
      <c r="AI51" s="78" t="s">
        <v>131</v>
      </c>
      <c r="AJ51" s="79"/>
      <c r="AK51" s="63">
        <v>101</v>
      </c>
      <c r="AL51" s="64">
        <f t="shared" si="13"/>
        <v>20200</v>
      </c>
      <c r="AM51" s="65">
        <v>0.22</v>
      </c>
      <c r="AN51" s="66">
        <v>140</v>
      </c>
      <c r="AO51" s="70" t="s">
        <v>121</v>
      </c>
      <c r="AP51" s="67">
        <v>12</v>
      </c>
      <c r="AQ51" s="68">
        <v>46297</v>
      </c>
      <c r="AR51" s="26"/>
      <c r="AS51" s="26"/>
      <c r="AT51" s="26"/>
      <c r="AU51" s="26"/>
      <c r="AV51" s="69" t="s">
        <v>100</v>
      </c>
      <c r="AW51" s="76">
        <v>46298</v>
      </c>
      <c r="AX51" s="76">
        <v>46297</v>
      </c>
      <c r="AY51" s="41">
        <v>658</v>
      </c>
      <c r="AZ51" s="29"/>
      <c r="BA51" s="35">
        <v>46297</v>
      </c>
      <c r="BB51" s="68">
        <v>46298</v>
      </c>
      <c r="BC51" s="39" t="s">
        <v>140</v>
      </c>
      <c r="BD51" s="48" t="s">
        <v>132</v>
      </c>
    </row>
    <row r="52" spans="1:56" ht="13" x14ac:dyDescent="0.3">
      <c r="A52" s="26"/>
      <c r="B52" s="26">
        <v>1</v>
      </c>
      <c r="C52" s="26"/>
      <c r="D52" s="27"/>
      <c r="E52" s="26"/>
      <c r="F52" s="40">
        <v>46297</v>
      </c>
      <c r="G52" s="41">
        <v>1</v>
      </c>
      <c r="H52" s="42">
        <v>309</v>
      </c>
      <c r="I52" s="42" t="s">
        <v>87</v>
      </c>
      <c r="J52" s="42">
        <v>235</v>
      </c>
      <c r="K52" s="43" t="s">
        <v>88</v>
      </c>
      <c r="L52" s="26"/>
      <c r="M52" s="26"/>
      <c r="N52" s="26"/>
      <c r="O52" s="26"/>
      <c r="P52" s="26"/>
      <c r="Q52" s="26"/>
      <c r="R52" s="26"/>
      <c r="S52" s="42" t="s">
        <v>89</v>
      </c>
      <c r="T52" s="42" t="s">
        <v>90</v>
      </c>
      <c r="U52" s="42" t="s">
        <v>91</v>
      </c>
      <c r="V52" s="42" t="s">
        <v>92</v>
      </c>
      <c r="W52" s="42">
        <v>3209</v>
      </c>
      <c r="X52" s="42">
        <v>1</v>
      </c>
      <c r="Y52" s="42" t="s">
        <v>93</v>
      </c>
      <c r="Z52" s="43" t="s">
        <v>94</v>
      </c>
      <c r="AA52" s="43" t="s">
        <v>95</v>
      </c>
      <c r="AB52" s="44" t="s">
        <v>96</v>
      </c>
      <c r="AC52" s="44" t="s">
        <v>97</v>
      </c>
      <c r="AD52" s="43">
        <v>200</v>
      </c>
      <c r="AE52" s="44">
        <v>200</v>
      </c>
      <c r="AF52" s="32"/>
      <c r="AG52" s="26"/>
      <c r="AH52" s="26"/>
      <c r="AI52" s="38" t="s">
        <v>129</v>
      </c>
      <c r="AJ52" s="77" t="s">
        <v>126</v>
      </c>
      <c r="AK52" s="63">
        <v>101</v>
      </c>
      <c r="AL52" s="64">
        <f t="shared" si="13"/>
        <v>20200</v>
      </c>
      <c r="AM52" s="65">
        <v>0.22</v>
      </c>
      <c r="AN52" s="66">
        <v>140</v>
      </c>
      <c r="AO52" s="70" t="s">
        <v>121</v>
      </c>
      <c r="AP52" s="67">
        <v>12</v>
      </c>
      <c r="AQ52" s="68">
        <v>46297</v>
      </c>
      <c r="AR52" s="26"/>
      <c r="AS52" s="26"/>
      <c r="AT52" s="26"/>
      <c r="AU52" s="26"/>
      <c r="AV52" s="69" t="s">
        <v>100</v>
      </c>
      <c r="AW52" s="76">
        <v>46298</v>
      </c>
      <c r="AX52" s="76">
        <v>46297</v>
      </c>
      <c r="AY52" s="41">
        <v>658</v>
      </c>
      <c r="AZ52" s="29"/>
      <c r="BA52" s="35">
        <v>46297</v>
      </c>
      <c r="BB52" s="68">
        <v>46298</v>
      </c>
      <c r="BC52" s="39" t="s">
        <v>140</v>
      </c>
      <c r="BD52" s="48" t="s">
        <v>127</v>
      </c>
    </row>
    <row r="53" spans="1:56" ht="13" x14ac:dyDescent="0.3">
      <c r="A53" s="26"/>
      <c r="B53" s="26">
        <v>1</v>
      </c>
      <c r="C53" s="26"/>
      <c r="D53" s="27"/>
      <c r="E53" s="26"/>
      <c r="F53" s="40">
        <v>46297</v>
      </c>
      <c r="G53" s="41">
        <v>1</v>
      </c>
      <c r="H53" s="42">
        <v>309</v>
      </c>
      <c r="I53" s="42" t="s">
        <v>87</v>
      </c>
      <c r="J53" s="42">
        <v>235</v>
      </c>
      <c r="K53" s="43" t="s">
        <v>88</v>
      </c>
      <c r="L53" s="26"/>
      <c r="M53" s="26"/>
      <c r="N53" s="26"/>
      <c r="O53" s="26"/>
      <c r="P53" s="26"/>
      <c r="Q53" s="26"/>
      <c r="R53" s="26"/>
      <c r="S53" s="42" t="s">
        <v>89</v>
      </c>
      <c r="T53" s="42" t="s">
        <v>90</v>
      </c>
      <c r="U53" s="42" t="s">
        <v>91</v>
      </c>
      <c r="V53" s="42" t="s">
        <v>92</v>
      </c>
      <c r="W53" s="42">
        <v>3209</v>
      </c>
      <c r="X53" s="42">
        <v>1</v>
      </c>
      <c r="Y53" s="42" t="s">
        <v>93</v>
      </c>
      <c r="Z53" s="43" t="s">
        <v>94</v>
      </c>
      <c r="AA53" s="43" t="s">
        <v>95</v>
      </c>
      <c r="AB53" s="44" t="s">
        <v>96</v>
      </c>
      <c r="AC53" s="44" t="s">
        <v>97</v>
      </c>
      <c r="AD53" s="43">
        <v>200</v>
      </c>
      <c r="AE53" s="44">
        <v>200</v>
      </c>
      <c r="AF53" s="32"/>
      <c r="AG53" s="26"/>
      <c r="AH53" s="26"/>
      <c r="AI53" s="38" t="s">
        <v>130</v>
      </c>
      <c r="AJ53" s="79" t="s">
        <v>126</v>
      </c>
      <c r="AK53" s="63">
        <v>101</v>
      </c>
      <c r="AL53" s="64">
        <f t="shared" si="13"/>
        <v>20200</v>
      </c>
      <c r="AM53" s="65">
        <v>0.22</v>
      </c>
      <c r="AN53" s="66">
        <v>140</v>
      </c>
      <c r="AO53" s="70" t="s">
        <v>121</v>
      </c>
      <c r="AP53" s="67">
        <v>12</v>
      </c>
      <c r="AQ53" s="68">
        <v>46297</v>
      </c>
      <c r="AR53" s="26"/>
      <c r="AS53" s="57">
        <v>1.5</v>
      </c>
      <c r="AT53" s="61">
        <f t="shared" ref="AT53:AT62" si="14">AN53*AS53</f>
        <v>210</v>
      </c>
      <c r="AU53" s="61">
        <f t="shared" ref="AU53:AU62" si="15">AT53*AD53</f>
        <v>42000</v>
      </c>
      <c r="AV53" s="69" t="s">
        <v>100</v>
      </c>
      <c r="AW53" s="76">
        <v>46298</v>
      </c>
      <c r="AX53" s="76">
        <v>46297</v>
      </c>
      <c r="AY53" s="41">
        <v>658</v>
      </c>
      <c r="AZ53" s="29"/>
      <c r="BA53" s="35">
        <v>46297</v>
      </c>
      <c r="BB53" s="68">
        <v>46298</v>
      </c>
      <c r="BC53" s="39" t="s">
        <v>140</v>
      </c>
      <c r="BD53" s="48" t="s">
        <v>133</v>
      </c>
    </row>
    <row r="54" spans="1:56" ht="13" x14ac:dyDescent="0.3">
      <c r="A54" s="26"/>
      <c r="B54" s="26">
        <v>1</v>
      </c>
      <c r="C54" s="26"/>
      <c r="D54" s="27"/>
      <c r="E54" s="26"/>
      <c r="F54" s="40">
        <v>46297</v>
      </c>
      <c r="G54" s="41">
        <v>1</v>
      </c>
      <c r="H54" s="42">
        <v>309</v>
      </c>
      <c r="I54" s="42" t="s">
        <v>87</v>
      </c>
      <c r="J54" s="42">
        <v>235</v>
      </c>
      <c r="K54" s="43" t="s">
        <v>88</v>
      </c>
      <c r="L54" s="26"/>
      <c r="M54" s="26"/>
      <c r="N54" s="26"/>
      <c r="O54" s="26"/>
      <c r="P54" s="26"/>
      <c r="Q54" s="26"/>
      <c r="R54" s="26"/>
      <c r="S54" s="42" t="s">
        <v>89</v>
      </c>
      <c r="T54" s="42" t="s">
        <v>90</v>
      </c>
      <c r="U54" s="42" t="s">
        <v>91</v>
      </c>
      <c r="V54" s="42" t="s">
        <v>92</v>
      </c>
      <c r="W54" s="42">
        <v>3209</v>
      </c>
      <c r="X54" s="42">
        <v>1</v>
      </c>
      <c r="Y54" s="42" t="s">
        <v>93</v>
      </c>
      <c r="Z54" s="81" t="s">
        <v>94</v>
      </c>
      <c r="AA54" s="81" t="s">
        <v>95</v>
      </c>
      <c r="AB54" s="44" t="s">
        <v>96</v>
      </c>
      <c r="AC54" s="44" t="s">
        <v>97</v>
      </c>
      <c r="AD54" s="43">
        <v>200</v>
      </c>
      <c r="AE54" s="44">
        <v>200</v>
      </c>
      <c r="AF54" s="32"/>
      <c r="AG54" s="26"/>
      <c r="AH54" s="57"/>
      <c r="AI54" s="38" t="s">
        <v>105</v>
      </c>
      <c r="AJ54" s="79" t="s">
        <v>126</v>
      </c>
      <c r="AK54" s="63">
        <v>101</v>
      </c>
      <c r="AL54" s="64">
        <f t="shared" si="13"/>
        <v>20200</v>
      </c>
      <c r="AM54" s="65">
        <v>0.22</v>
      </c>
      <c r="AN54" s="66">
        <v>140</v>
      </c>
      <c r="AO54" s="70" t="s">
        <v>121</v>
      </c>
      <c r="AP54" s="67">
        <v>12</v>
      </c>
      <c r="AQ54" s="68">
        <v>46297</v>
      </c>
      <c r="AR54" s="26"/>
      <c r="AS54" s="57">
        <v>1.5</v>
      </c>
      <c r="AT54" s="61">
        <f t="shared" si="14"/>
        <v>210</v>
      </c>
      <c r="AU54" s="61">
        <f t="shared" si="15"/>
        <v>42000</v>
      </c>
      <c r="AV54" s="69" t="s">
        <v>100</v>
      </c>
      <c r="AW54" s="76">
        <v>46298</v>
      </c>
      <c r="AX54" s="76">
        <v>46297</v>
      </c>
      <c r="AY54" s="41">
        <v>658</v>
      </c>
      <c r="AZ54" s="29"/>
      <c r="BA54" s="35">
        <v>46297</v>
      </c>
      <c r="BB54" s="68">
        <v>46298</v>
      </c>
      <c r="BC54" s="39" t="s">
        <v>140</v>
      </c>
      <c r="BD54" s="62" t="s">
        <v>134</v>
      </c>
    </row>
    <row r="55" spans="1:56" ht="13" x14ac:dyDescent="0.3">
      <c r="A55" s="26"/>
      <c r="B55" s="26">
        <v>1</v>
      </c>
      <c r="C55" s="26"/>
      <c r="D55" s="27"/>
      <c r="E55" s="26"/>
      <c r="F55" s="40">
        <v>46297</v>
      </c>
      <c r="G55" s="41">
        <v>1</v>
      </c>
      <c r="H55" s="42">
        <v>309</v>
      </c>
      <c r="I55" s="42" t="s">
        <v>87</v>
      </c>
      <c r="J55" s="42">
        <v>235</v>
      </c>
      <c r="K55" s="43" t="s">
        <v>88</v>
      </c>
      <c r="L55" s="26"/>
      <c r="M55" s="26"/>
      <c r="N55" s="26"/>
      <c r="O55" s="26"/>
      <c r="P55" s="26"/>
      <c r="Q55" s="26"/>
      <c r="R55" s="26"/>
      <c r="S55" s="42" t="s">
        <v>89</v>
      </c>
      <c r="T55" s="42" t="s">
        <v>90</v>
      </c>
      <c r="U55" s="42" t="s">
        <v>91</v>
      </c>
      <c r="V55" s="42" t="s">
        <v>92</v>
      </c>
      <c r="W55" s="42">
        <v>3209</v>
      </c>
      <c r="X55" s="42">
        <v>1</v>
      </c>
      <c r="Y55" s="42" t="s">
        <v>93</v>
      </c>
      <c r="Z55" s="43" t="s">
        <v>94</v>
      </c>
      <c r="AA55" s="43" t="s">
        <v>95</v>
      </c>
      <c r="AB55" s="44" t="s">
        <v>96</v>
      </c>
      <c r="AC55" s="44" t="s">
        <v>97</v>
      </c>
      <c r="AD55" s="43">
        <v>200</v>
      </c>
      <c r="AE55" s="44">
        <v>200</v>
      </c>
      <c r="AF55" s="32"/>
      <c r="AG55" s="26"/>
      <c r="AH55" s="26"/>
      <c r="AI55" s="24" t="s">
        <v>107</v>
      </c>
      <c r="AJ55" s="79" t="s">
        <v>126</v>
      </c>
      <c r="AK55" s="63">
        <v>101</v>
      </c>
      <c r="AL55" s="64">
        <f t="shared" si="13"/>
        <v>20200</v>
      </c>
      <c r="AM55" s="65">
        <v>0.22</v>
      </c>
      <c r="AN55" s="66">
        <v>140</v>
      </c>
      <c r="AO55" s="70" t="s">
        <v>121</v>
      </c>
      <c r="AP55" s="67">
        <v>12</v>
      </c>
      <c r="AQ55" s="68">
        <v>46297</v>
      </c>
      <c r="AR55" s="26"/>
      <c r="AS55" s="67">
        <v>1.5</v>
      </c>
      <c r="AT55" s="66">
        <f t="shared" si="14"/>
        <v>210</v>
      </c>
      <c r="AU55" s="66">
        <f t="shared" si="15"/>
        <v>42000</v>
      </c>
      <c r="AV55" s="69" t="s">
        <v>100</v>
      </c>
      <c r="AW55" s="76">
        <v>46298</v>
      </c>
      <c r="AX55" s="76">
        <v>46297</v>
      </c>
      <c r="AY55" s="41">
        <v>658</v>
      </c>
      <c r="AZ55" s="29"/>
      <c r="BA55" s="35">
        <v>46297</v>
      </c>
      <c r="BB55" s="68">
        <v>46298</v>
      </c>
      <c r="BC55" s="39" t="s">
        <v>140</v>
      </c>
      <c r="BD55" s="62" t="s">
        <v>135</v>
      </c>
    </row>
    <row r="56" spans="1:56" ht="13" x14ac:dyDescent="0.3">
      <c r="A56" s="26"/>
      <c r="B56" s="26">
        <v>1</v>
      </c>
      <c r="C56" s="26"/>
      <c r="D56" s="27"/>
      <c r="E56" s="26"/>
      <c r="F56" s="40">
        <v>46297</v>
      </c>
      <c r="G56" s="41">
        <v>1</v>
      </c>
      <c r="H56" s="42">
        <v>309</v>
      </c>
      <c r="I56" s="42" t="s">
        <v>87</v>
      </c>
      <c r="J56" s="42">
        <v>235</v>
      </c>
      <c r="K56" s="43" t="s">
        <v>88</v>
      </c>
      <c r="L56" s="26"/>
      <c r="M56" s="26"/>
      <c r="N56" s="26"/>
      <c r="O56" s="26"/>
      <c r="P56" s="26"/>
      <c r="Q56" s="26"/>
      <c r="R56" s="26"/>
      <c r="S56" s="42" t="s">
        <v>89</v>
      </c>
      <c r="T56" s="42" t="s">
        <v>90</v>
      </c>
      <c r="U56" s="42" t="s">
        <v>91</v>
      </c>
      <c r="V56" s="42" t="s">
        <v>92</v>
      </c>
      <c r="W56" s="42">
        <v>3209</v>
      </c>
      <c r="X56" s="42">
        <v>1</v>
      </c>
      <c r="Y56" s="42" t="s">
        <v>93</v>
      </c>
      <c r="Z56" s="43" t="s">
        <v>94</v>
      </c>
      <c r="AA56" s="43" t="s">
        <v>95</v>
      </c>
      <c r="AB56" s="44" t="s">
        <v>96</v>
      </c>
      <c r="AC56" s="44" t="s">
        <v>97</v>
      </c>
      <c r="AD56" s="81">
        <v>200</v>
      </c>
      <c r="AE56" s="44">
        <v>200</v>
      </c>
      <c r="AF56" s="32"/>
      <c r="AG56" s="26"/>
      <c r="AH56" s="26"/>
      <c r="AI56" s="24" t="s">
        <v>138</v>
      </c>
      <c r="AJ56" s="79" t="s">
        <v>126</v>
      </c>
      <c r="AK56" s="63">
        <v>101</v>
      </c>
      <c r="AL56" s="64">
        <f t="shared" ref="AL56:AL58" si="16">AE56*AK56</f>
        <v>20200</v>
      </c>
      <c r="AM56" s="65">
        <v>0.22</v>
      </c>
      <c r="AN56" s="66">
        <v>140</v>
      </c>
      <c r="AO56" s="70" t="s">
        <v>121</v>
      </c>
      <c r="AP56" s="67">
        <v>12</v>
      </c>
      <c r="AQ56" s="68">
        <v>46297</v>
      </c>
      <c r="AR56" s="26"/>
      <c r="AS56" s="67">
        <v>1.5</v>
      </c>
      <c r="AT56" s="66">
        <f t="shared" si="14"/>
        <v>210</v>
      </c>
      <c r="AU56" s="66">
        <f t="shared" si="15"/>
        <v>42000</v>
      </c>
      <c r="AV56" s="69" t="s">
        <v>100</v>
      </c>
      <c r="AW56" s="76">
        <v>46298</v>
      </c>
      <c r="AX56" s="76">
        <v>46297</v>
      </c>
      <c r="AY56" s="41">
        <v>658</v>
      </c>
      <c r="AZ56" s="29"/>
      <c r="BA56" s="35">
        <v>46297</v>
      </c>
      <c r="BB56" s="68">
        <v>46298</v>
      </c>
      <c r="BC56" s="39" t="s">
        <v>140</v>
      </c>
      <c r="BD56" s="62" t="s">
        <v>139</v>
      </c>
    </row>
    <row r="57" spans="1:56" ht="13" x14ac:dyDescent="0.3">
      <c r="A57" s="26"/>
      <c r="B57" s="26">
        <v>1</v>
      </c>
      <c r="C57" s="26"/>
      <c r="D57" s="27"/>
      <c r="E57" s="26"/>
      <c r="F57" s="40">
        <v>46297</v>
      </c>
      <c r="G57" s="41">
        <v>1</v>
      </c>
      <c r="H57" s="42">
        <v>309</v>
      </c>
      <c r="I57" s="42" t="s">
        <v>87</v>
      </c>
      <c r="J57" s="42">
        <v>235</v>
      </c>
      <c r="K57" s="43" t="s">
        <v>88</v>
      </c>
      <c r="L57" s="26"/>
      <c r="M57" s="26"/>
      <c r="N57" s="26"/>
      <c r="O57" s="26"/>
      <c r="P57" s="26"/>
      <c r="Q57" s="26"/>
      <c r="R57" s="26"/>
      <c r="S57" s="42" t="s">
        <v>89</v>
      </c>
      <c r="T57" s="42" t="s">
        <v>90</v>
      </c>
      <c r="U57" s="42" t="s">
        <v>91</v>
      </c>
      <c r="V57" s="42" t="s">
        <v>92</v>
      </c>
      <c r="W57" s="42">
        <v>3209</v>
      </c>
      <c r="X57" s="42">
        <v>1</v>
      </c>
      <c r="Y57" s="42" t="s">
        <v>93</v>
      </c>
      <c r="Z57" s="81" t="s">
        <v>94</v>
      </c>
      <c r="AA57" s="81" t="s">
        <v>95</v>
      </c>
      <c r="AB57" s="44" t="s">
        <v>96</v>
      </c>
      <c r="AC57" s="44" t="s">
        <v>97</v>
      </c>
      <c r="AD57" s="81">
        <v>200</v>
      </c>
      <c r="AE57" s="44">
        <v>200</v>
      </c>
      <c r="AF57" s="32"/>
      <c r="AG57" s="26"/>
      <c r="AH57" s="57"/>
      <c r="AI57" s="38" t="s">
        <v>105</v>
      </c>
      <c r="AJ57" s="79" t="s">
        <v>126</v>
      </c>
      <c r="AK57" s="63">
        <v>101</v>
      </c>
      <c r="AL57" s="64">
        <f t="shared" si="16"/>
        <v>20200</v>
      </c>
      <c r="AM57" s="65">
        <v>0.22</v>
      </c>
      <c r="AN57" s="66">
        <v>140</v>
      </c>
      <c r="AO57" s="70" t="s">
        <v>121</v>
      </c>
      <c r="AP57" s="67">
        <v>12</v>
      </c>
      <c r="AQ57" s="68">
        <v>46297</v>
      </c>
      <c r="AR57" s="26"/>
      <c r="AS57" s="57">
        <v>1.5</v>
      </c>
      <c r="AT57" s="61">
        <f t="shared" si="14"/>
        <v>210</v>
      </c>
      <c r="AU57" s="61">
        <f t="shared" si="15"/>
        <v>42000</v>
      </c>
      <c r="AV57" s="69" t="s">
        <v>100</v>
      </c>
      <c r="AW57" s="76">
        <v>46298</v>
      </c>
      <c r="AX57" s="76">
        <v>46297</v>
      </c>
      <c r="AY57" s="41">
        <v>658</v>
      </c>
      <c r="AZ57" s="29"/>
      <c r="BA57" s="35">
        <v>46297</v>
      </c>
      <c r="BB57" s="68">
        <v>46298</v>
      </c>
      <c r="BC57" s="39" t="s">
        <v>140</v>
      </c>
      <c r="BD57" s="62" t="s">
        <v>134</v>
      </c>
    </row>
    <row r="58" spans="1:56" ht="13" x14ac:dyDescent="0.3">
      <c r="A58" s="26"/>
      <c r="B58" s="26">
        <v>1</v>
      </c>
      <c r="C58" s="26"/>
      <c r="D58" s="27"/>
      <c r="E58" s="26"/>
      <c r="F58" s="40">
        <v>46297</v>
      </c>
      <c r="G58" s="41">
        <v>1</v>
      </c>
      <c r="H58" s="42">
        <v>309</v>
      </c>
      <c r="I58" s="42" t="s">
        <v>87</v>
      </c>
      <c r="J58" s="42">
        <v>235</v>
      </c>
      <c r="K58" s="43" t="s">
        <v>88</v>
      </c>
      <c r="L58" s="26"/>
      <c r="M58" s="26"/>
      <c r="N58" s="26"/>
      <c r="O58" s="26"/>
      <c r="P58" s="26"/>
      <c r="Q58" s="26"/>
      <c r="R58" s="26"/>
      <c r="S58" s="42" t="s">
        <v>89</v>
      </c>
      <c r="T58" s="42" t="s">
        <v>90</v>
      </c>
      <c r="U58" s="42" t="s">
        <v>91</v>
      </c>
      <c r="V58" s="42" t="s">
        <v>92</v>
      </c>
      <c r="W58" s="42">
        <v>3209</v>
      </c>
      <c r="X58" s="42">
        <v>1</v>
      </c>
      <c r="Y58" s="42" t="s">
        <v>93</v>
      </c>
      <c r="Z58" s="43" t="s">
        <v>94</v>
      </c>
      <c r="AA58" s="43" t="s">
        <v>95</v>
      </c>
      <c r="AB58" s="44" t="s">
        <v>96</v>
      </c>
      <c r="AC58" s="44" t="s">
        <v>97</v>
      </c>
      <c r="AD58" s="43">
        <v>200</v>
      </c>
      <c r="AE58" s="44">
        <v>200</v>
      </c>
      <c r="AF58" s="32"/>
      <c r="AG58" s="26"/>
      <c r="AH58" s="26"/>
      <c r="AI58" s="24" t="s">
        <v>107</v>
      </c>
      <c r="AJ58" s="79" t="s">
        <v>126</v>
      </c>
      <c r="AK58" s="63">
        <v>101</v>
      </c>
      <c r="AL58" s="64">
        <f t="shared" si="16"/>
        <v>20200</v>
      </c>
      <c r="AM58" s="65">
        <v>0.22</v>
      </c>
      <c r="AN58" s="66">
        <v>140</v>
      </c>
      <c r="AO58" s="70" t="s">
        <v>121</v>
      </c>
      <c r="AP58" s="67">
        <v>12</v>
      </c>
      <c r="AQ58" s="68">
        <v>46297</v>
      </c>
      <c r="AR58" s="26"/>
      <c r="AS58" s="67">
        <v>1.5</v>
      </c>
      <c r="AT58" s="66">
        <f t="shared" si="14"/>
        <v>210</v>
      </c>
      <c r="AU58" s="66">
        <f t="shared" si="15"/>
        <v>42000</v>
      </c>
      <c r="AV58" s="69" t="s">
        <v>100</v>
      </c>
      <c r="AW58" s="76">
        <v>46298</v>
      </c>
      <c r="AX58" s="76">
        <v>46297</v>
      </c>
      <c r="AY58" s="41">
        <v>658</v>
      </c>
      <c r="AZ58" s="29"/>
      <c r="BA58" s="35">
        <v>46297</v>
      </c>
      <c r="BB58" s="68">
        <v>46298</v>
      </c>
      <c r="BC58" s="39" t="s">
        <v>140</v>
      </c>
      <c r="BD58" s="62" t="s">
        <v>135</v>
      </c>
    </row>
    <row r="59" spans="1:56" ht="13" x14ac:dyDescent="0.3">
      <c r="A59" s="26"/>
      <c r="B59" s="26">
        <v>1</v>
      </c>
      <c r="C59" s="26"/>
      <c r="D59" s="27"/>
      <c r="E59" s="26"/>
      <c r="F59" s="40">
        <v>46297</v>
      </c>
      <c r="G59" s="41">
        <v>1</v>
      </c>
      <c r="H59" s="42">
        <v>309</v>
      </c>
      <c r="I59" s="42" t="s">
        <v>87</v>
      </c>
      <c r="J59" s="42">
        <v>235</v>
      </c>
      <c r="K59" s="43" t="s">
        <v>88</v>
      </c>
      <c r="L59" s="26"/>
      <c r="M59" s="26"/>
      <c r="N59" s="26"/>
      <c r="O59" s="26"/>
      <c r="P59" s="26"/>
      <c r="Q59" s="26"/>
      <c r="R59" s="26"/>
      <c r="S59" s="42" t="s">
        <v>89</v>
      </c>
      <c r="T59" s="42" t="s">
        <v>90</v>
      </c>
      <c r="U59" s="42" t="s">
        <v>91</v>
      </c>
      <c r="V59" s="42" t="s">
        <v>92</v>
      </c>
      <c r="W59" s="42">
        <v>3209</v>
      </c>
      <c r="X59" s="42">
        <v>1</v>
      </c>
      <c r="Y59" s="42" t="s">
        <v>93</v>
      </c>
      <c r="Z59" s="43" t="s">
        <v>94</v>
      </c>
      <c r="AA59" s="43" t="s">
        <v>95</v>
      </c>
      <c r="AB59" s="44" t="s">
        <v>96</v>
      </c>
      <c r="AC59" s="44" t="s">
        <v>97</v>
      </c>
      <c r="AD59" s="43">
        <v>200</v>
      </c>
      <c r="AE59" s="44">
        <v>200</v>
      </c>
      <c r="AF59" s="32"/>
      <c r="AG59" s="26"/>
      <c r="AH59" s="26"/>
      <c r="AI59" s="24" t="s">
        <v>108</v>
      </c>
      <c r="AJ59" s="79" t="s">
        <v>126</v>
      </c>
      <c r="AK59" s="63">
        <v>101</v>
      </c>
      <c r="AL59" s="64">
        <f t="shared" si="13"/>
        <v>20200</v>
      </c>
      <c r="AM59" s="65">
        <v>0.22</v>
      </c>
      <c r="AN59" s="66">
        <v>140</v>
      </c>
      <c r="AO59" s="70" t="s">
        <v>121</v>
      </c>
      <c r="AP59" s="67">
        <v>12</v>
      </c>
      <c r="AQ59" s="68">
        <v>46297</v>
      </c>
      <c r="AR59" s="26"/>
      <c r="AS59" s="57">
        <v>1.5</v>
      </c>
      <c r="AT59" s="61">
        <f t="shared" si="14"/>
        <v>210</v>
      </c>
      <c r="AU59" s="61">
        <f t="shared" si="15"/>
        <v>42000</v>
      </c>
      <c r="AV59" s="69" t="s">
        <v>100</v>
      </c>
      <c r="AW59" s="76">
        <v>46298</v>
      </c>
      <c r="AX59" s="76">
        <v>46297</v>
      </c>
      <c r="AY59" s="41">
        <v>658</v>
      </c>
      <c r="AZ59" s="29"/>
      <c r="BA59" s="35">
        <v>46297</v>
      </c>
      <c r="BB59" s="68">
        <v>46298</v>
      </c>
      <c r="BC59" s="39" t="s">
        <v>140</v>
      </c>
      <c r="BD59" s="48" t="s">
        <v>136</v>
      </c>
    </row>
    <row r="60" spans="1:56" ht="13" x14ac:dyDescent="0.3">
      <c r="A60" s="26"/>
      <c r="B60" s="26">
        <v>1</v>
      </c>
      <c r="C60" s="26"/>
      <c r="D60" s="82">
        <v>46297</v>
      </c>
      <c r="E60" s="57">
        <v>1</v>
      </c>
      <c r="F60" s="40">
        <v>46297</v>
      </c>
      <c r="G60" s="41">
        <v>1</v>
      </c>
      <c r="H60" s="42">
        <v>309</v>
      </c>
      <c r="I60" s="42" t="s">
        <v>87</v>
      </c>
      <c r="J60" s="42">
        <v>235</v>
      </c>
      <c r="K60" s="43" t="s">
        <v>88</v>
      </c>
      <c r="L60" s="26"/>
      <c r="M60" s="26"/>
      <c r="N60" s="26"/>
      <c r="O60" s="26"/>
      <c r="P60" s="26"/>
      <c r="Q60" s="26"/>
      <c r="R60" s="26"/>
      <c r="S60" s="42" t="s">
        <v>89</v>
      </c>
      <c r="T60" s="42" t="s">
        <v>90</v>
      </c>
      <c r="U60" s="42" t="s">
        <v>91</v>
      </c>
      <c r="V60" s="42" t="s">
        <v>92</v>
      </c>
      <c r="W60" s="42">
        <v>3209</v>
      </c>
      <c r="X60" s="42">
        <v>1</v>
      </c>
      <c r="Y60" s="42" t="s">
        <v>93</v>
      </c>
      <c r="Z60" s="43" t="s">
        <v>94</v>
      </c>
      <c r="AA60" s="43" t="s">
        <v>95</v>
      </c>
      <c r="AB60" s="44" t="s">
        <v>96</v>
      </c>
      <c r="AC60" s="44" t="s">
        <v>97</v>
      </c>
      <c r="AD60" s="43">
        <v>200</v>
      </c>
      <c r="AE60" s="44">
        <v>200</v>
      </c>
      <c r="AF60" s="32"/>
      <c r="AG60" s="26"/>
      <c r="AH60" s="26"/>
      <c r="AI60" s="24" t="s">
        <v>110</v>
      </c>
      <c r="AJ60" s="79" t="s">
        <v>126</v>
      </c>
      <c r="AK60" s="63">
        <v>101</v>
      </c>
      <c r="AL60" s="64">
        <f t="shared" si="13"/>
        <v>20200</v>
      </c>
      <c r="AM60" s="65">
        <v>0.22</v>
      </c>
      <c r="AN60" s="66">
        <v>140</v>
      </c>
      <c r="AO60" s="70" t="s">
        <v>121</v>
      </c>
      <c r="AP60" s="67">
        <v>12</v>
      </c>
      <c r="AQ60" s="68">
        <v>46297</v>
      </c>
      <c r="AR60" s="26"/>
      <c r="AS60" s="57">
        <v>1.5</v>
      </c>
      <c r="AT60" s="61">
        <f t="shared" si="14"/>
        <v>210</v>
      </c>
      <c r="AU60" s="61">
        <f t="shared" si="15"/>
        <v>42000</v>
      </c>
      <c r="AV60" s="69" t="s">
        <v>100</v>
      </c>
      <c r="AW60" s="76">
        <v>46298</v>
      </c>
      <c r="AX60" s="76">
        <v>46297</v>
      </c>
      <c r="AY60" s="41">
        <v>658</v>
      </c>
      <c r="AZ60" s="29"/>
      <c r="BA60" s="35">
        <v>46297</v>
      </c>
      <c r="BB60" s="68">
        <v>46298</v>
      </c>
      <c r="BC60" s="39" t="s">
        <v>140</v>
      </c>
      <c r="BD60" s="48" t="s">
        <v>137</v>
      </c>
    </row>
    <row r="61" spans="1:56" ht="13" x14ac:dyDescent="0.3">
      <c r="A61" s="26"/>
      <c r="B61" s="26">
        <v>1</v>
      </c>
      <c r="C61" s="26"/>
      <c r="D61" s="127">
        <v>46297</v>
      </c>
      <c r="E61" s="126">
        <v>1</v>
      </c>
      <c r="F61" s="40">
        <v>46297</v>
      </c>
      <c r="G61" s="41">
        <v>1</v>
      </c>
      <c r="H61" s="42">
        <v>309</v>
      </c>
      <c r="I61" s="42" t="s">
        <v>87</v>
      </c>
      <c r="J61" s="42">
        <v>235</v>
      </c>
      <c r="K61" s="43" t="s">
        <v>88</v>
      </c>
      <c r="L61" s="26"/>
      <c r="M61" s="26"/>
      <c r="N61" s="26"/>
      <c r="O61" s="26"/>
      <c r="P61" s="26"/>
      <c r="Q61" s="26"/>
      <c r="R61" s="26"/>
      <c r="S61" s="42" t="s">
        <v>89</v>
      </c>
      <c r="T61" s="42" t="s">
        <v>90</v>
      </c>
      <c r="U61" s="42" t="s">
        <v>91</v>
      </c>
      <c r="V61" s="42" t="s">
        <v>92</v>
      </c>
      <c r="W61" s="42">
        <v>3209</v>
      </c>
      <c r="X61" s="42">
        <v>1</v>
      </c>
      <c r="Y61" s="42" t="s">
        <v>93</v>
      </c>
      <c r="Z61" s="43" t="s">
        <v>94</v>
      </c>
      <c r="AA61" s="43" t="s">
        <v>95</v>
      </c>
      <c r="AB61" s="44" t="s">
        <v>96</v>
      </c>
      <c r="AC61" s="44" t="s">
        <v>97</v>
      </c>
      <c r="AD61" s="43">
        <v>200</v>
      </c>
      <c r="AE61" s="44">
        <v>200</v>
      </c>
      <c r="AF61" s="32"/>
      <c r="AG61" s="26"/>
      <c r="AH61" s="26"/>
      <c r="AI61" s="24" t="s">
        <v>112</v>
      </c>
      <c r="AJ61" s="79" t="s">
        <v>126</v>
      </c>
      <c r="AK61" s="63">
        <v>101</v>
      </c>
      <c r="AL61" s="64">
        <f t="shared" si="13"/>
        <v>20200</v>
      </c>
      <c r="AM61" s="65">
        <v>0.22</v>
      </c>
      <c r="AN61" s="66">
        <v>140</v>
      </c>
      <c r="AO61" s="70" t="s">
        <v>121</v>
      </c>
      <c r="AP61" s="67">
        <v>12</v>
      </c>
      <c r="AQ61" s="68">
        <v>46297</v>
      </c>
      <c r="AR61" s="26"/>
      <c r="AS61" s="67">
        <v>1.5</v>
      </c>
      <c r="AT61" s="66">
        <f t="shared" si="14"/>
        <v>210</v>
      </c>
      <c r="AU61" s="66">
        <f t="shared" si="15"/>
        <v>42000</v>
      </c>
      <c r="AV61" s="69" t="s">
        <v>100</v>
      </c>
      <c r="AW61" s="76">
        <v>46298</v>
      </c>
      <c r="AX61" s="76">
        <v>46297</v>
      </c>
      <c r="AY61" s="41">
        <v>658</v>
      </c>
      <c r="AZ61" s="29"/>
      <c r="BA61" s="35">
        <v>46297</v>
      </c>
      <c r="BB61" s="68">
        <v>46298</v>
      </c>
      <c r="BC61" s="39" t="s">
        <v>140</v>
      </c>
      <c r="BD61" s="22" t="s">
        <v>113</v>
      </c>
    </row>
    <row r="62" spans="1:56" ht="13" x14ac:dyDescent="0.3">
      <c r="A62" s="26"/>
      <c r="B62" s="26">
        <v>1</v>
      </c>
      <c r="C62" s="57"/>
      <c r="D62" s="129">
        <v>46297</v>
      </c>
      <c r="E62" s="128">
        <v>1</v>
      </c>
      <c r="F62" s="40">
        <v>46297</v>
      </c>
      <c r="G62" s="41">
        <v>1</v>
      </c>
      <c r="H62" s="42">
        <v>309</v>
      </c>
      <c r="I62" s="42" t="s">
        <v>87</v>
      </c>
      <c r="J62" s="42">
        <v>235</v>
      </c>
      <c r="K62" s="43" t="s">
        <v>88</v>
      </c>
      <c r="L62" s="26"/>
      <c r="M62" s="26"/>
      <c r="N62" s="26"/>
      <c r="O62" s="26"/>
      <c r="P62" s="26"/>
      <c r="Q62" s="26"/>
      <c r="R62" s="26"/>
      <c r="S62" s="42" t="s">
        <v>89</v>
      </c>
      <c r="T62" s="42" t="s">
        <v>90</v>
      </c>
      <c r="U62" s="42" t="s">
        <v>91</v>
      </c>
      <c r="V62" s="42" t="s">
        <v>92</v>
      </c>
      <c r="W62" s="42">
        <v>3209</v>
      </c>
      <c r="X62" s="42">
        <v>1</v>
      </c>
      <c r="Y62" s="42" t="s">
        <v>93</v>
      </c>
      <c r="Z62" s="43" t="s">
        <v>94</v>
      </c>
      <c r="AA62" s="43" t="s">
        <v>95</v>
      </c>
      <c r="AB62" s="44" t="s">
        <v>96</v>
      </c>
      <c r="AC62" s="44" t="s">
        <v>97</v>
      </c>
      <c r="AD62" s="43">
        <v>200</v>
      </c>
      <c r="AE62" s="44">
        <v>200</v>
      </c>
      <c r="AF62" s="32"/>
      <c r="AG62" s="26"/>
      <c r="AH62" s="26"/>
      <c r="AI62" s="24" t="s">
        <v>114</v>
      </c>
      <c r="AJ62" s="79" t="s">
        <v>126</v>
      </c>
      <c r="AK62" s="63">
        <v>101</v>
      </c>
      <c r="AL62" s="64">
        <f t="shared" si="13"/>
        <v>20200</v>
      </c>
      <c r="AM62" s="65">
        <v>0.22</v>
      </c>
      <c r="AN62" s="66">
        <v>140</v>
      </c>
      <c r="AO62" s="70" t="s">
        <v>121</v>
      </c>
      <c r="AP62" s="67">
        <v>12</v>
      </c>
      <c r="AQ62" s="68">
        <v>46297</v>
      </c>
      <c r="AR62" s="26"/>
      <c r="AS62" s="67">
        <v>1.5</v>
      </c>
      <c r="AT62" s="66">
        <f t="shared" si="14"/>
        <v>210</v>
      </c>
      <c r="AU62" s="66">
        <f t="shared" si="15"/>
        <v>42000</v>
      </c>
      <c r="AV62" s="69" t="s">
        <v>100</v>
      </c>
      <c r="AW62" s="76">
        <v>46298</v>
      </c>
      <c r="AX62" s="76">
        <v>46297</v>
      </c>
      <c r="AY62" s="41">
        <v>658</v>
      </c>
      <c r="AZ62" s="29"/>
      <c r="BA62" s="35">
        <v>46297</v>
      </c>
      <c r="BB62" s="68">
        <v>46298</v>
      </c>
      <c r="BC62" s="39" t="s">
        <v>140</v>
      </c>
      <c r="BD62" s="25" t="s">
        <v>115</v>
      </c>
    </row>
    <row r="63" spans="1: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56" ht="13" x14ac:dyDescent="0.3">
      <c r="A68" s="26"/>
      <c r="B68" s="26">
        <v>1</v>
      </c>
      <c r="C68" s="26"/>
      <c r="D68" s="27"/>
      <c r="E68" s="26"/>
      <c r="F68" s="40">
        <v>46297</v>
      </c>
      <c r="G68" s="41">
        <v>1</v>
      </c>
      <c r="H68" s="42">
        <v>309</v>
      </c>
      <c r="I68" s="42" t="s">
        <v>87</v>
      </c>
      <c r="J68" s="42">
        <v>235</v>
      </c>
      <c r="K68" s="43" t="s">
        <v>88</v>
      </c>
      <c r="L68" s="26"/>
      <c r="M68" s="26"/>
      <c r="N68" s="26"/>
      <c r="O68" s="26"/>
      <c r="P68" s="26"/>
      <c r="Q68" s="26"/>
      <c r="R68" s="26"/>
      <c r="S68" s="42" t="s">
        <v>89</v>
      </c>
      <c r="T68" s="42" t="s">
        <v>90</v>
      </c>
      <c r="U68" s="42" t="s">
        <v>91</v>
      </c>
      <c r="V68" s="42" t="s">
        <v>92</v>
      </c>
      <c r="W68" s="42">
        <v>3209</v>
      </c>
      <c r="X68" s="42">
        <v>1</v>
      </c>
      <c r="Y68" s="42" t="s">
        <v>93</v>
      </c>
      <c r="Z68" s="43" t="s">
        <v>94</v>
      </c>
      <c r="AA68" s="43" t="s">
        <v>95</v>
      </c>
      <c r="AB68" s="44" t="s">
        <v>96</v>
      </c>
      <c r="AC68" s="44" t="s">
        <v>97</v>
      </c>
      <c r="AD68" s="43">
        <v>200</v>
      </c>
      <c r="AE68" s="44">
        <v>200</v>
      </c>
      <c r="AF68" s="32"/>
      <c r="AG68" s="26"/>
      <c r="AH68" s="26"/>
      <c r="AI68" s="24" t="s">
        <v>112</v>
      </c>
      <c r="AJ68" s="79" t="s">
        <v>126</v>
      </c>
      <c r="AK68" s="63">
        <v>101</v>
      </c>
      <c r="AL68" s="64">
        <f t="shared" ref="AL68" si="17">AE68*AK68</f>
        <v>20200</v>
      </c>
      <c r="AM68" s="65">
        <v>0.22</v>
      </c>
      <c r="AN68" s="66">
        <v>140</v>
      </c>
      <c r="AO68" s="70" t="s">
        <v>121</v>
      </c>
      <c r="AP68" s="67">
        <v>12</v>
      </c>
      <c r="AQ68" s="68">
        <v>46297</v>
      </c>
      <c r="AR68" s="26"/>
      <c r="AS68" s="67">
        <v>1.5</v>
      </c>
      <c r="AT68" s="66">
        <f t="shared" ref="AT68:AT77" si="18">AN68*AS68</f>
        <v>210</v>
      </c>
      <c r="AU68" s="66">
        <f t="shared" ref="AU68:AU77" si="19">AT68*AD68</f>
        <v>42000</v>
      </c>
      <c r="AV68" s="69" t="s">
        <v>100</v>
      </c>
      <c r="AW68" s="76">
        <v>46298</v>
      </c>
      <c r="AX68" s="76">
        <v>46297</v>
      </c>
      <c r="AY68" s="41">
        <v>658</v>
      </c>
      <c r="AZ68" s="29"/>
      <c r="BA68" s="35">
        <v>46297</v>
      </c>
      <c r="BB68" s="68">
        <v>46298</v>
      </c>
      <c r="BC68" s="39" t="s">
        <v>142</v>
      </c>
      <c r="BD68" s="22" t="s">
        <v>113</v>
      </c>
    </row>
    <row r="69" spans="1:56" ht="13" x14ac:dyDescent="0.3">
      <c r="A69" s="26"/>
      <c r="B69" s="26">
        <v>1</v>
      </c>
      <c r="C69" s="26"/>
      <c r="D69" s="27"/>
      <c r="E69" s="26"/>
      <c r="F69" s="40">
        <v>46297</v>
      </c>
      <c r="G69" s="41">
        <v>1</v>
      </c>
      <c r="H69" s="42">
        <v>309</v>
      </c>
      <c r="I69" s="42" t="s">
        <v>87</v>
      </c>
      <c r="J69" s="42">
        <v>235</v>
      </c>
      <c r="K69" s="43" t="s">
        <v>88</v>
      </c>
      <c r="L69" s="26"/>
      <c r="M69" s="26"/>
      <c r="N69" s="26"/>
      <c r="O69" s="26"/>
      <c r="P69" s="26"/>
      <c r="Q69" s="26"/>
      <c r="R69" s="26"/>
      <c r="S69" s="42" t="s">
        <v>89</v>
      </c>
      <c r="T69" s="42" t="s">
        <v>90</v>
      </c>
      <c r="U69" s="42" t="s">
        <v>91</v>
      </c>
      <c r="V69" s="42" t="s">
        <v>92</v>
      </c>
      <c r="W69" s="42">
        <v>3209</v>
      </c>
      <c r="X69" s="42">
        <v>1</v>
      </c>
      <c r="Y69" s="42" t="s">
        <v>93</v>
      </c>
      <c r="Z69" s="43" t="s">
        <v>94</v>
      </c>
      <c r="AA69" s="43" t="s">
        <v>95</v>
      </c>
      <c r="AB69" s="44" t="s">
        <v>96</v>
      </c>
      <c r="AC69" s="44" t="s">
        <v>97</v>
      </c>
      <c r="AD69" s="43">
        <v>200</v>
      </c>
      <c r="AE69" s="44">
        <v>200</v>
      </c>
      <c r="AF69" s="32"/>
      <c r="AG69" s="26"/>
      <c r="AH69" s="26"/>
      <c r="AI69" s="24" t="s">
        <v>141</v>
      </c>
      <c r="AJ69" s="79" t="s">
        <v>126</v>
      </c>
      <c r="AK69" s="63">
        <v>101</v>
      </c>
      <c r="AL69" s="64">
        <f t="shared" ref="AL69" si="20">AE69*AK69</f>
        <v>20200</v>
      </c>
      <c r="AM69" s="65">
        <v>0.22</v>
      </c>
      <c r="AN69" s="66">
        <v>140</v>
      </c>
      <c r="AO69" s="70" t="s">
        <v>121</v>
      </c>
      <c r="AP69" s="67">
        <v>12</v>
      </c>
      <c r="AQ69" s="68">
        <v>46297</v>
      </c>
      <c r="AR69" s="26"/>
      <c r="AS69" s="67">
        <v>1.5</v>
      </c>
      <c r="AT69" s="66">
        <f t="shared" si="18"/>
        <v>210</v>
      </c>
      <c r="AU69" s="66">
        <f t="shared" si="19"/>
        <v>42000</v>
      </c>
      <c r="AV69" s="69" t="s">
        <v>100</v>
      </c>
      <c r="AW69" s="76">
        <v>46298</v>
      </c>
      <c r="AX69" s="76">
        <v>46297</v>
      </c>
      <c r="AY69" s="41">
        <v>658</v>
      </c>
      <c r="AZ69" s="29"/>
      <c r="BA69" s="35">
        <v>46297</v>
      </c>
      <c r="BB69" s="68">
        <v>46298</v>
      </c>
      <c r="BC69" s="39" t="s">
        <v>142</v>
      </c>
      <c r="BD69" s="22" t="s">
        <v>143</v>
      </c>
    </row>
    <row r="70" spans="1:56" ht="13" x14ac:dyDescent="0.3">
      <c r="A70" s="26"/>
      <c r="B70" s="26">
        <v>1</v>
      </c>
      <c r="C70" s="26"/>
      <c r="D70" s="27"/>
      <c r="E70" s="26"/>
      <c r="F70" s="40">
        <v>46297</v>
      </c>
      <c r="G70" s="41">
        <v>1</v>
      </c>
      <c r="H70" s="42">
        <v>309</v>
      </c>
      <c r="I70" s="42" t="s">
        <v>87</v>
      </c>
      <c r="J70" s="42">
        <v>235</v>
      </c>
      <c r="K70" s="43" t="s">
        <v>88</v>
      </c>
      <c r="L70" s="26"/>
      <c r="M70" s="26"/>
      <c r="N70" s="26"/>
      <c r="O70" s="26"/>
      <c r="P70" s="26"/>
      <c r="Q70" s="26"/>
      <c r="R70" s="26"/>
      <c r="S70" s="42" t="s">
        <v>89</v>
      </c>
      <c r="T70" s="42" t="s">
        <v>90</v>
      </c>
      <c r="U70" s="42" t="s">
        <v>91</v>
      </c>
      <c r="V70" s="42" t="s">
        <v>92</v>
      </c>
      <c r="W70" s="42">
        <v>3209</v>
      </c>
      <c r="X70" s="42">
        <v>1</v>
      </c>
      <c r="Y70" s="42" t="s">
        <v>93</v>
      </c>
      <c r="Z70" s="43" t="s">
        <v>94</v>
      </c>
      <c r="AA70" s="43" t="s">
        <v>95</v>
      </c>
      <c r="AB70" s="44" t="s">
        <v>96</v>
      </c>
      <c r="AC70" s="44" t="s">
        <v>97</v>
      </c>
      <c r="AD70" s="43">
        <v>200</v>
      </c>
      <c r="AE70" s="46">
        <v>200</v>
      </c>
      <c r="AF70" s="32"/>
      <c r="AG70" s="26"/>
      <c r="AH70" s="26"/>
      <c r="AI70" s="24" t="s">
        <v>144</v>
      </c>
      <c r="AJ70" s="79" t="s">
        <v>126</v>
      </c>
      <c r="AK70" s="63">
        <v>101</v>
      </c>
      <c r="AL70" s="64">
        <f t="shared" ref="AL70:AL77" si="21">AE70*AK70</f>
        <v>20200</v>
      </c>
      <c r="AM70" s="65">
        <v>0.22</v>
      </c>
      <c r="AN70" s="66">
        <v>140</v>
      </c>
      <c r="AO70" s="70" t="s">
        <v>121</v>
      </c>
      <c r="AP70" s="67">
        <v>12</v>
      </c>
      <c r="AQ70" s="68">
        <v>46297</v>
      </c>
      <c r="AR70" s="26"/>
      <c r="AS70" s="67">
        <v>1.5</v>
      </c>
      <c r="AT70" s="66">
        <f t="shared" si="18"/>
        <v>210</v>
      </c>
      <c r="AU70" s="66">
        <f t="shared" si="19"/>
        <v>42000</v>
      </c>
      <c r="AV70" s="69" t="s">
        <v>100</v>
      </c>
      <c r="AW70" s="76">
        <v>46298</v>
      </c>
      <c r="AX70" s="76">
        <v>46297</v>
      </c>
      <c r="AY70" s="41">
        <v>658</v>
      </c>
      <c r="AZ70" s="29"/>
      <c r="BA70" s="35">
        <v>46297</v>
      </c>
      <c r="BB70" s="68">
        <v>46298</v>
      </c>
      <c r="BC70" s="39" t="s">
        <v>142</v>
      </c>
      <c r="BD70" s="22" t="s">
        <v>145</v>
      </c>
    </row>
    <row r="71" spans="1:56" ht="13" x14ac:dyDescent="0.3">
      <c r="A71" s="26"/>
      <c r="B71" s="26">
        <v>1</v>
      </c>
      <c r="C71" s="26"/>
      <c r="D71" s="27"/>
      <c r="E71" s="26"/>
      <c r="F71" s="40">
        <v>46297</v>
      </c>
      <c r="G71" s="41">
        <v>1</v>
      </c>
      <c r="H71" s="42">
        <v>309</v>
      </c>
      <c r="I71" s="42" t="s">
        <v>87</v>
      </c>
      <c r="J71" s="42">
        <v>235</v>
      </c>
      <c r="K71" s="43" t="s">
        <v>88</v>
      </c>
      <c r="L71" s="26"/>
      <c r="M71" s="26"/>
      <c r="N71" s="26"/>
      <c r="O71" s="26"/>
      <c r="P71" s="26"/>
      <c r="Q71" s="26"/>
      <c r="R71" s="26"/>
      <c r="S71" s="42" t="s">
        <v>89</v>
      </c>
      <c r="T71" s="42" t="s">
        <v>90</v>
      </c>
      <c r="U71" s="42" t="s">
        <v>91</v>
      </c>
      <c r="V71" s="42" t="s">
        <v>92</v>
      </c>
      <c r="W71" s="42">
        <v>3209</v>
      </c>
      <c r="X71" s="42">
        <v>1</v>
      </c>
      <c r="Y71" s="42" t="s">
        <v>93</v>
      </c>
      <c r="Z71" s="43" t="s">
        <v>94</v>
      </c>
      <c r="AA71" s="43" t="s">
        <v>95</v>
      </c>
      <c r="AB71" s="44" t="s">
        <v>96</v>
      </c>
      <c r="AC71" s="44" t="s">
        <v>97</v>
      </c>
      <c r="AD71" s="81">
        <v>200</v>
      </c>
      <c r="AE71" s="44">
        <v>200</v>
      </c>
      <c r="AF71" s="32"/>
      <c r="AG71" s="26"/>
      <c r="AH71" s="26"/>
      <c r="AI71" s="24" t="s">
        <v>138</v>
      </c>
      <c r="AJ71" s="79" t="s">
        <v>126</v>
      </c>
      <c r="AK71" s="63">
        <v>101</v>
      </c>
      <c r="AL71" s="64">
        <f t="shared" si="21"/>
        <v>20200</v>
      </c>
      <c r="AM71" s="65">
        <v>0.22</v>
      </c>
      <c r="AN71" s="66">
        <v>140</v>
      </c>
      <c r="AO71" s="70" t="s">
        <v>121</v>
      </c>
      <c r="AP71" s="67">
        <v>12</v>
      </c>
      <c r="AQ71" s="68">
        <v>46297</v>
      </c>
      <c r="AR71" s="26"/>
      <c r="AS71" s="67">
        <v>1.5</v>
      </c>
      <c r="AT71" s="66">
        <f t="shared" si="18"/>
        <v>210</v>
      </c>
      <c r="AU71" s="66">
        <f t="shared" si="19"/>
        <v>42000</v>
      </c>
      <c r="AV71" s="69" t="s">
        <v>100</v>
      </c>
      <c r="AW71" s="76">
        <v>46298</v>
      </c>
      <c r="AX71" s="76">
        <v>46297</v>
      </c>
      <c r="AY71" s="41">
        <v>658</v>
      </c>
      <c r="AZ71" s="29"/>
      <c r="BA71" s="35">
        <v>46297</v>
      </c>
      <c r="BB71" s="68">
        <v>46298</v>
      </c>
      <c r="BC71" s="39" t="s">
        <v>142</v>
      </c>
      <c r="BD71" s="62" t="s">
        <v>139</v>
      </c>
    </row>
    <row r="72" spans="1:56" ht="13" x14ac:dyDescent="0.3">
      <c r="A72" s="26"/>
      <c r="B72" s="26">
        <v>1</v>
      </c>
      <c r="C72" s="26"/>
      <c r="D72" s="27"/>
      <c r="E72" s="26"/>
      <c r="F72" s="40">
        <v>46297</v>
      </c>
      <c r="G72" s="41">
        <v>1</v>
      </c>
      <c r="H72" s="42">
        <v>309</v>
      </c>
      <c r="I72" s="42" t="s">
        <v>87</v>
      </c>
      <c r="J72" s="42">
        <v>235</v>
      </c>
      <c r="K72" s="43" t="s">
        <v>88</v>
      </c>
      <c r="L72" s="26"/>
      <c r="M72" s="26"/>
      <c r="N72" s="26"/>
      <c r="O72" s="26"/>
      <c r="P72" s="26"/>
      <c r="Q72" s="26"/>
      <c r="R72" s="26"/>
      <c r="S72" s="42" t="s">
        <v>89</v>
      </c>
      <c r="T72" s="42" t="s">
        <v>90</v>
      </c>
      <c r="U72" s="42" t="s">
        <v>91</v>
      </c>
      <c r="V72" s="42" t="s">
        <v>92</v>
      </c>
      <c r="W72" s="42">
        <v>3209</v>
      </c>
      <c r="X72" s="42">
        <v>1</v>
      </c>
      <c r="Y72" s="42" t="s">
        <v>93</v>
      </c>
      <c r="Z72" s="81" t="s">
        <v>94</v>
      </c>
      <c r="AA72" s="81" t="s">
        <v>95</v>
      </c>
      <c r="AB72" s="44" t="s">
        <v>96</v>
      </c>
      <c r="AC72" s="44" t="s">
        <v>97</v>
      </c>
      <c r="AD72" s="81">
        <v>200</v>
      </c>
      <c r="AE72" s="44">
        <v>200</v>
      </c>
      <c r="AF72" s="32"/>
      <c r="AG72" s="26"/>
      <c r="AH72" s="57"/>
      <c r="AI72" s="38" t="s">
        <v>105</v>
      </c>
      <c r="AJ72" s="79" t="s">
        <v>126</v>
      </c>
      <c r="AK72" s="63">
        <v>101</v>
      </c>
      <c r="AL72" s="64">
        <f t="shared" si="21"/>
        <v>20200</v>
      </c>
      <c r="AM72" s="65">
        <v>0.22</v>
      </c>
      <c r="AN72" s="66">
        <v>140</v>
      </c>
      <c r="AO72" s="70" t="s">
        <v>121</v>
      </c>
      <c r="AP72" s="67">
        <v>12</v>
      </c>
      <c r="AQ72" s="68">
        <v>46297</v>
      </c>
      <c r="AR72" s="26"/>
      <c r="AS72" s="57">
        <v>1.5</v>
      </c>
      <c r="AT72" s="61">
        <f t="shared" si="18"/>
        <v>210</v>
      </c>
      <c r="AU72" s="61">
        <f t="shared" si="19"/>
        <v>42000</v>
      </c>
      <c r="AV72" s="69" t="s">
        <v>100</v>
      </c>
      <c r="AW72" s="76">
        <v>46298</v>
      </c>
      <c r="AX72" s="76">
        <v>46297</v>
      </c>
      <c r="AY72" s="41">
        <v>658</v>
      </c>
      <c r="AZ72" s="29"/>
      <c r="BA72" s="35">
        <v>46297</v>
      </c>
      <c r="BB72" s="68">
        <v>46298</v>
      </c>
      <c r="BC72" s="39" t="s">
        <v>142</v>
      </c>
      <c r="BD72" s="62" t="s">
        <v>134</v>
      </c>
    </row>
    <row r="73" spans="1:56" ht="13" x14ac:dyDescent="0.3">
      <c r="A73" s="26"/>
      <c r="B73" s="26">
        <v>1</v>
      </c>
      <c r="C73" s="26"/>
      <c r="D73" s="27"/>
      <c r="E73" s="26"/>
      <c r="F73" s="40">
        <v>46297</v>
      </c>
      <c r="G73" s="41">
        <v>1</v>
      </c>
      <c r="H73" s="42">
        <v>309</v>
      </c>
      <c r="I73" s="42" t="s">
        <v>87</v>
      </c>
      <c r="J73" s="42">
        <v>235</v>
      </c>
      <c r="K73" s="43" t="s">
        <v>88</v>
      </c>
      <c r="L73" s="26"/>
      <c r="M73" s="26"/>
      <c r="N73" s="26"/>
      <c r="O73" s="26"/>
      <c r="P73" s="26"/>
      <c r="Q73" s="26"/>
      <c r="R73" s="26"/>
      <c r="S73" s="42" t="s">
        <v>89</v>
      </c>
      <c r="T73" s="42" t="s">
        <v>90</v>
      </c>
      <c r="U73" s="42" t="s">
        <v>91</v>
      </c>
      <c r="V73" s="42" t="s">
        <v>92</v>
      </c>
      <c r="W73" s="42">
        <v>3209</v>
      </c>
      <c r="X73" s="42">
        <v>1</v>
      </c>
      <c r="Y73" s="42" t="s">
        <v>93</v>
      </c>
      <c r="Z73" s="43" t="s">
        <v>94</v>
      </c>
      <c r="AA73" s="43" t="s">
        <v>95</v>
      </c>
      <c r="AB73" s="44" t="s">
        <v>96</v>
      </c>
      <c r="AC73" s="44" t="s">
        <v>97</v>
      </c>
      <c r="AD73" s="43">
        <v>200</v>
      </c>
      <c r="AE73" s="44">
        <v>200</v>
      </c>
      <c r="AF73" s="32"/>
      <c r="AG73" s="26"/>
      <c r="AH73" s="26"/>
      <c r="AI73" s="24" t="s">
        <v>107</v>
      </c>
      <c r="AJ73" s="79" t="s">
        <v>126</v>
      </c>
      <c r="AK73" s="63">
        <v>101</v>
      </c>
      <c r="AL73" s="64">
        <f t="shared" si="21"/>
        <v>20200</v>
      </c>
      <c r="AM73" s="65">
        <v>0.22</v>
      </c>
      <c r="AN73" s="66">
        <v>140</v>
      </c>
      <c r="AO73" s="70" t="s">
        <v>121</v>
      </c>
      <c r="AP73" s="67">
        <v>12</v>
      </c>
      <c r="AQ73" s="68">
        <v>46297</v>
      </c>
      <c r="AR73" s="26"/>
      <c r="AS73" s="67">
        <v>1.5</v>
      </c>
      <c r="AT73" s="66">
        <f t="shared" si="18"/>
        <v>210</v>
      </c>
      <c r="AU73" s="66">
        <f t="shared" si="19"/>
        <v>42000</v>
      </c>
      <c r="AV73" s="69" t="s">
        <v>100</v>
      </c>
      <c r="AW73" s="76">
        <v>46298</v>
      </c>
      <c r="AX73" s="76">
        <v>46297</v>
      </c>
      <c r="AY73" s="41">
        <v>658</v>
      </c>
      <c r="AZ73" s="29"/>
      <c r="BA73" s="35">
        <v>46297</v>
      </c>
      <c r="BB73" s="68">
        <v>46298</v>
      </c>
      <c r="BC73" s="39" t="s">
        <v>142</v>
      </c>
      <c r="BD73" s="62" t="s">
        <v>135</v>
      </c>
    </row>
    <row r="74" spans="1:56" ht="13" x14ac:dyDescent="0.3">
      <c r="A74" s="26"/>
      <c r="B74" s="26">
        <v>1</v>
      </c>
      <c r="C74" s="26"/>
      <c r="D74" s="27"/>
      <c r="E74" s="26"/>
      <c r="F74" s="40">
        <v>46297</v>
      </c>
      <c r="G74" s="41">
        <v>1</v>
      </c>
      <c r="H74" s="42">
        <v>309</v>
      </c>
      <c r="I74" s="42" t="s">
        <v>87</v>
      </c>
      <c r="J74" s="42">
        <v>235</v>
      </c>
      <c r="K74" s="43" t="s">
        <v>88</v>
      </c>
      <c r="L74" s="26"/>
      <c r="M74" s="26"/>
      <c r="N74" s="26"/>
      <c r="O74" s="26"/>
      <c r="P74" s="26"/>
      <c r="Q74" s="26"/>
      <c r="R74" s="26"/>
      <c r="S74" s="42" t="s">
        <v>89</v>
      </c>
      <c r="T74" s="42" t="s">
        <v>90</v>
      </c>
      <c r="U74" s="42" t="s">
        <v>91</v>
      </c>
      <c r="V74" s="42" t="s">
        <v>92</v>
      </c>
      <c r="W74" s="42">
        <v>3209</v>
      </c>
      <c r="X74" s="42">
        <v>1</v>
      </c>
      <c r="Y74" s="42" t="s">
        <v>93</v>
      </c>
      <c r="Z74" s="43" t="s">
        <v>94</v>
      </c>
      <c r="AA74" s="43" t="s">
        <v>95</v>
      </c>
      <c r="AB74" s="44" t="s">
        <v>96</v>
      </c>
      <c r="AC74" s="44" t="s">
        <v>97</v>
      </c>
      <c r="AD74" s="43">
        <v>200</v>
      </c>
      <c r="AE74" s="44">
        <v>200</v>
      </c>
      <c r="AF74" s="32"/>
      <c r="AG74" s="26"/>
      <c r="AH74" s="26"/>
      <c r="AI74" s="24" t="s">
        <v>108</v>
      </c>
      <c r="AJ74" s="79" t="s">
        <v>126</v>
      </c>
      <c r="AK74" s="63">
        <v>101</v>
      </c>
      <c r="AL74" s="64">
        <f t="shared" si="21"/>
        <v>20200</v>
      </c>
      <c r="AM74" s="65">
        <v>0.22</v>
      </c>
      <c r="AN74" s="66">
        <v>140</v>
      </c>
      <c r="AO74" s="70" t="s">
        <v>121</v>
      </c>
      <c r="AP74" s="67">
        <v>12</v>
      </c>
      <c r="AQ74" s="68">
        <v>46297</v>
      </c>
      <c r="AR74" s="26"/>
      <c r="AS74" s="57">
        <v>1.5</v>
      </c>
      <c r="AT74" s="61">
        <f t="shared" si="18"/>
        <v>210</v>
      </c>
      <c r="AU74" s="61">
        <f t="shared" si="19"/>
        <v>42000</v>
      </c>
      <c r="AV74" s="69" t="s">
        <v>100</v>
      </c>
      <c r="AW74" s="76">
        <v>46298</v>
      </c>
      <c r="AX74" s="76">
        <v>46297</v>
      </c>
      <c r="AY74" s="41">
        <v>658</v>
      </c>
      <c r="AZ74" s="29"/>
      <c r="BA74" s="35">
        <v>46297</v>
      </c>
      <c r="BB74" s="68">
        <v>46298</v>
      </c>
      <c r="BC74" s="39" t="s">
        <v>142</v>
      </c>
      <c r="BD74" s="48" t="s">
        <v>136</v>
      </c>
    </row>
    <row r="75" spans="1:56" ht="13" x14ac:dyDescent="0.3">
      <c r="A75" s="26"/>
      <c r="B75" s="26">
        <v>1</v>
      </c>
      <c r="C75" s="26"/>
      <c r="D75" s="82">
        <v>46297</v>
      </c>
      <c r="E75" s="57">
        <v>1</v>
      </c>
      <c r="F75" s="40">
        <v>46297</v>
      </c>
      <c r="G75" s="41">
        <v>1</v>
      </c>
      <c r="H75" s="42">
        <v>309</v>
      </c>
      <c r="I75" s="42" t="s">
        <v>87</v>
      </c>
      <c r="J75" s="42">
        <v>235</v>
      </c>
      <c r="K75" s="43" t="s">
        <v>88</v>
      </c>
      <c r="L75" s="26"/>
      <c r="M75" s="26"/>
      <c r="N75" s="26"/>
      <c r="O75" s="26"/>
      <c r="P75" s="26"/>
      <c r="Q75" s="26"/>
      <c r="R75" s="26"/>
      <c r="S75" s="42" t="s">
        <v>89</v>
      </c>
      <c r="T75" s="42" t="s">
        <v>90</v>
      </c>
      <c r="U75" s="42" t="s">
        <v>91</v>
      </c>
      <c r="V75" s="42" t="s">
        <v>92</v>
      </c>
      <c r="W75" s="42">
        <v>3209</v>
      </c>
      <c r="X75" s="42">
        <v>1</v>
      </c>
      <c r="Y75" s="42" t="s">
        <v>93</v>
      </c>
      <c r="Z75" s="43" t="s">
        <v>94</v>
      </c>
      <c r="AA75" s="43" t="s">
        <v>95</v>
      </c>
      <c r="AB75" s="44" t="s">
        <v>96</v>
      </c>
      <c r="AC75" s="44" t="s">
        <v>97</v>
      </c>
      <c r="AD75" s="43">
        <v>200</v>
      </c>
      <c r="AE75" s="44">
        <v>200</v>
      </c>
      <c r="AF75" s="32"/>
      <c r="AG75" s="26"/>
      <c r="AH75" s="26"/>
      <c r="AI75" s="24" t="s">
        <v>110</v>
      </c>
      <c r="AJ75" s="79" t="s">
        <v>126</v>
      </c>
      <c r="AK75" s="63">
        <v>101</v>
      </c>
      <c r="AL75" s="64">
        <f t="shared" si="21"/>
        <v>20200</v>
      </c>
      <c r="AM75" s="65">
        <v>0.22</v>
      </c>
      <c r="AN75" s="66">
        <v>140</v>
      </c>
      <c r="AO75" s="70" t="s">
        <v>121</v>
      </c>
      <c r="AP75" s="67">
        <v>12</v>
      </c>
      <c r="AQ75" s="68">
        <v>46297</v>
      </c>
      <c r="AR75" s="26"/>
      <c r="AS75" s="57">
        <v>1.5</v>
      </c>
      <c r="AT75" s="61">
        <f t="shared" si="18"/>
        <v>210</v>
      </c>
      <c r="AU75" s="61">
        <f t="shared" si="19"/>
        <v>42000</v>
      </c>
      <c r="AV75" s="69" t="s">
        <v>100</v>
      </c>
      <c r="AW75" s="76">
        <v>46298</v>
      </c>
      <c r="AX75" s="76">
        <v>46297</v>
      </c>
      <c r="AY75" s="41">
        <v>658</v>
      </c>
      <c r="AZ75" s="29"/>
      <c r="BA75" s="35">
        <v>46297</v>
      </c>
      <c r="BB75" s="68">
        <v>46298</v>
      </c>
      <c r="BC75" s="39" t="s">
        <v>142</v>
      </c>
      <c r="BD75" s="48" t="s">
        <v>137</v>
      </c>
    </row>
    <row r="76" spans="1:56" ht="13" x14ac:dyDescent="0.3">
      <c r="A76" s="26"/>
      <c r="B76" s="26">
        <v>1</v>
      </c>
      <c r="C76" s="26"/>
      <c r="D76" s="127">
        <v>46297</v>
      </c>
      <c r="E76" s="126">
        <v>1</v>
      </c>
      <c r="F76" s="40">
        <v>46297</v>
      </c>
      <c r="G76" s="41">
        <v>1</v>
      </c>
      <c r="H76" s="42">
        <v>309</v>
      </c>
      <c r="I76" s="42" t="s">
        <v>87</v>
      </c>
      <c r="J76" s="42">
        <v>235</v>
      </c>
      <c r="K76" s="43" t="s">
        <v>88</v>
      </c>
      <c r="L76" s="26"/>
      <c r="M76" s="26"/>
      <c r="N76" s="26"/>
      <c r="O76" s="26"/>
      <c r="P76" s="26"/>
      <c r="Q76" s="26"/>
      <c r="R76" s="26"/>
      <c r="S76" s="42" t="s">
        <v>89</v>
      </c>
      <c r="T76" s="42" t="s">
        <v>90</v>
      </c>
      <c r="U76" s="42" t="s">
        <v>91</v>
      </c>
      <c r="V76" s="42" t="s">
        <v>92</v>
      </c>
      <c r="W76" s="42">
        <v>3209</v>
      </c>
      <c r="X76" s="42">
        <v>1</v>
      </c>
      <c r="Y76" s="42" t="s">
        <v>93</v>
      </c>
      <c r="Z76" s="43" t="s">
        <v>94</v>
      </c>
      <c r="AA76" s="43" t="s">
        <v>95</v>
      </c>
      <c r="AB76" s="44" t="s">
        <v>96</v>
      </c>
      <c r="AC76" s="44" t="s">
        <v>97</v>
      </c>
      <c r="AD76" s="43">
        <v>200</v>
      </c>
      <c r="AE76" s="44">
        <v>200</v>
      </c>
      <c r="AF76" s="32"/>
      <c r="AG76" s="26"/>
      <c r="AH76" s="26"/>
      <c r="AI76" s="24" t="s">
        <v>112</v>
      </c>
      <c r="AJ76" s="79" t="s">
        <v>126</v>
      </c>
      <c r="AK76" s="63">
        <v>101</v>
      </c>
      <c r="AL76" s="64">
        <f t="shared" si="21"/>
        <v>20200</v>
      </c>
      <c r="AM76" s="65">
        <v>0.22</v>
      </c>
      <c r="AN76" s="66">
        <v>140</v>
      </c>
      <c r="AO76" s="70" t="s">
        <v>121</v>
      </c>
      <c r="AP76" s="67">
        <v>12</v>
      </c>
      <c r="AQ76" s="68">
        <v>46297</v>
      </c>
      <c r="AR76" s="26"/>
      <c r="AS76" s="67">
        <v>1.5</v>
      </c>
      <c r="AT76" s="66">
        <f t="shared" si="18"/>
        <v>210</v>
      </c>
      <c r="AU76" s="66">
        <f t="shared" si="19"/>
        <v>42000</v>
      </c>
      <c r="AV76" s="69" t="s">
        <v>100</v>
      </c>
      <c r="AW76" s="76">
        <v>46298</v>
      </c>
      <c r="AX76" s="76">
        <v>46297</v>
      </c>
      <c r="AY76" s="41">
        <v>658</v>
      </c>
      <c r="AZ76" s="29"/>
      <c r="BA76" s="35">
        <v>46297</v>
      </c>
      <c r="BB76" s="68">
        <v>46298</v>
      </c>
      <c r="BC76" s="39" t="s">
        <v>142</v>
      </c>
      <c r="BD76" s="22" t="s">
        <v>113</v>
      </c>
    </row>
    <row r="77" spans="1:56" ht="13" x14ac:dyDescent="0.3">
      <c r="A77" s="26"/>
      <c r="B77" s="26">
        <v>1</v>
      </c>
      <c r="C77" s="57"/>
      <c r="D77" s="129">
        <v>46297</v>
      </c>
      <c r="E77" s="128">
        <v>1</v>
      </c>
      <c r="F77" s="40">
        <v>46297</v>
      </c>
      <c r="G77" s="41">
        <v>1</v>
      </c>
      <c r="H77" s="42">
        <v>309</v>
      </c>
      <c r="I77" s="42" t="s">
        <v>87</v>
      </c>
      <c r="J77" s="42">
        <v>235</v>
      </c>
      <c r="K77" s="43" t="s">
        <v>88</v>
      </c>
      <c r="L77" s="26"/>
      <c r="M77" s="26"/>
      <c r="N77" s="26"/>
      <c r="O77" s="26"/>
      <c r="P77" s="26"/>
      <c r="Q77" s="26"/>
      <c r="R77" s="26"/>
      <c r="S77" s="42" t="s">
        <v>89</v>
      </c>
      <c r="T77" s="42" t="s">
        <v>90</v>
      </c>
      <c r="U77" s="42" t="s">
        <v>91</v>
      </c>
      <c r="V77" s="42" t="s">
        <v>92</v>
      </c>
      <c r="W77" s="42">
        <v>3209</v>
      </c>
      <c r="X77" s="42">
        <v>1</v>
      </c>
      <c r="Y77" s="42" t="s">
        <v>93</v>
      </c>
      <c r="Z77" s="43" t="s">
        <v>94</v>
      </c>
      <c r="AA77" s="43" t="s">
        <v>95</v>
      </c>
      <c r="AB77" s="44" t="s">
        <v>96</v>
      </c>
      <c r="AC77" s="44" t="s">
        <v>97</v>
      </c>
      <c r="AD77" s="43">
        <v>200</v>
      </c>
      <c r="AE77" s="44">
        <v>200</v>
      </c>
      <c r="AF77" s="32"/>
      <c r="AG77" s="26"/>
      <c r="AH77" s="26"/>
      <c r="AI77" s="24" t="s">
        <v>114</v>
      </c>
      <c r="AJ77" s="79" t="s">
        <v>126</v>
      </c>
      <c r="AK77" s="63">
        <v>101</v>
      </c>
      <c r="AL77" s="64">
        <f t="shared" si="21"/>
        <v>20200</v>
      </c>
      <c r="AM77" s="65">
        <v>0.22</v>
      </c>
      <c r="AN77" s="66">
        <v>140</v>
      </c>
      <c r="AO77" s="70" t="s">
        <v>121</v>
      </c>
      <c r="AP77" s="67">
        <v>12</v>
      </c>
      <c r="AQ77" s="68">
        <v>46297</v>
      </c>
      <c r="AR77" s="26"/>
      <c r="AS77" s="67">
        <v>1.5</v>
      </c>
      <c r="AT77" s="66">
        <f t="shared" si="18"/>
        <v>210</v>
      </c>
      <c r="AU77" s="66">
        <f t="shared" si="19"/>
        <v>42000</v>
      </c>
      <c r="AV77" s="69" t="s">
        <v>100</v>
      </c>
      <c r="AW77" s="76">
        <v>46298</v>
      </c>
      <c r="AX77" s="76">
        <v>46297</v>
      </c>
      <c r="AY77" s="41">
        <v>658</v>
      </c>
      <c r="AZ77" s="29"/>
      <c r="BA77" s="35">
        <v>46297</v>
      </c>
      <c r="BB77" s="68">
        <v>46298</v>
      </c>
      <c r="BC77" s="39" t="s">
        <v>142</v>
      </c>
      <c r="BD77" s="25" t="s">
        <v>115</v>
      </c>
    </row>
    <row r="78" spans="1:5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5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5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56" s="55" customFormat="1" ht="219.5" x14ac:dyDescent="0.25">
      <c r="A81" s="51" t="s">
        <v>10</v>
      </c>
      <c r="B81" s="51" t="s">
        <v>11</v>
      </c>
      <c r="C81" s="51" t="s">
        <v>12</v>
      </c>
      <c r="D81" s="51" t="s">
        <v>13</v>
      </c>
      <c r="E81" s="51" t="s">
        <v>14</v>
      </c>
      <c r="F81" s="51" t="s">
        <v>15</v>
      </c>
      <c r="G81" s="51" t="s">
        <v>16</v>
      </c>
      <c r="H81" s="51" t="s">
        <v>17</v>
      </c>
      <c r="I81" s="51" t="s">
        <v>18</v>
      </c>
      <c r="J81" s="51" t="s">
        <v>19</v>
      </c>
      <c r="K81" s="51" t="s">
        <v>20</v>
      </c>
      <c r="L81" s="52" t="s">
        <v>21</v>
      </c>
      <c r="M81" s="52" t="s">
        <v>22</v>
      </c>
      <c r="N81" s="52" t="s">
        <v>23</v>
      </c>
      <c r="O81" s="52" t="s">
        <v>24</v>
      </c>
      <c r="P81" s="52" t="s">
        <v>25</v>
      </c>
      <c r="Q81" s="52" t="s">
        <v>26</v>
      </c>
      <c r="R81" s="52" t="s">
        <v>27</v>
      </c>
      <c r="S81" s="53" t="s">
        <v>28</v>
      </c>
      <c r="T81" s="53" t="s">
        <v>29</v>
      </c>
      <c r="U81" s="53" t="s">
        <v>30</v>
      </c>
      <c r="V81" s="53" t="s">
        <v>31</v>
      </c>
      <c r="W81" s="53" t="s">
        <v>32</v>
      </c>
      <c r="X81" s="53" t="s">
        <v>33</v>
      </c>
      <c r="Y81" s="53" t="s">
        <v>34</v>
      </c>
      <c r="Z81" s="54" t="s">
        <v>35</v>
      </c>
      <c r="AA81" s="54" t="s">
        <v>36</v>
      </c>
      <c r="AB81" s="54" t="s">
        <v>37</v>
      </c>
      <c r="AC81" s="54" t="s">
        <v>38</v>
      </c>
      <c r="AD81" s="54" t="s">
        <v>39</v>
      </c>
      <c r="AE81" s="51" t="s">
        <v>40</v>
      </c>
      <c r="AF81" s="51" t="s">
        <v>41</v>
      </c>
      <c r="AG81" s="51" t="s">
        <v>42</v>
      </c>
      <c r="AH81" s="51" t="s">
        <v>43</v>
      </c>
      <c r="AI81" s="51" t="s">
        <v>44</v>
      </c>
      <c r="AJ81" s="51" t="s">
        <v>45</v>
      </c>
      <c r="AK81" s="51" t="s">
        <v>46</v>
      </c>
      <c r="AL81" s="51" t="s">
        <v>47</v>
      </c>
      <c r="AM81" s="51" t="s">
        <v>48</v>
      </c>
      <c r="AN81" s="51" t="s">
        <v>49</v>
      </c>
      <c r="AO81" s="51" t="s">
        <v>50</v>
      </c>
      <c r="AP81" s="51" t="s">
        <v>51</v>
      </c>
      <c r="AQ81" s="51" t="s">
        <v>52</v>
      </c>
      <c r="AR81" s="51" t="s">
        <v>53</v>
      </c>
      <c r="AS81" s="51" t="s">
        <v>54</v>
      </c>
      <c r="AT81" s="51" t="s">
        <v>55</v>
      </c>
      <c r="AU81" s="51" t="s">
        <v>56</v>
      </c>
      <c r="AV81" s="51" t="s">
        <v>57</v>
      </c>
      <c r="AW81" s="51" t="s">
        <v>58</v>
      </c>
      <c r="AX81" s="51" t="s">
        <v>59</v>
      </c>
      <c r="AY81" s="51" t="s">
        <v>60</v>
      </c>
      <c r="AZ81" s="51" t="s">
        <v>61</v>
      </c>
      <c r="BA81" s="51" t="s">
        <v>62</v>
      </c>
      <c r="BB81" s="51" t="s">
        <v>63</v>
      </c>
      <c r="BC81" s="51" t="s">
        <v>64</v>
      </c>
      <c r="BD81" s="51" t="s">
        <v>65</v>
      </c>
    </row>
    <row r="82" spans="1:56" ht="13" x14ac:dyDescent="0.3">
      <c r="A82" s="26"/>
      <c r="B82" s="26">
        <v>1</v>
      </c>
      <c r="C82" s="26"/>
      <c r="D82" s="27"/>
      <c r="E82" s="26"/>
      <c r="F82" s="28">
        <v>46297</v>
      </c>
      <c r="G82" s="29">
        <v>1</v>
      </c>
      <c r="H82" s="30">
        <v>309</v>
      </c>
      <c r="I82" s="30" t="s">
        <v>87</v>
      </c>
      <c r="J82" s="30">
        <v>235</v>
      </c>
      <c r="K82" s="37" t="s">
        <v>164</v>
      </c>
      <c r="L82" s="57"/>
      <c r="M82" s="57"/>
      <c r="N82" s="57"/>
      <c r="O82" s="57"/>
      <c r="P82" s="57"/>
      <c r="Q82" s="57"/>
      <c r="R82" s="57"/>
      <c r="S82" s="47"/>
      <c r="T82" s="47"/>
      <c r="U82" s="47"/>
      <c r="V82" s="36" t="s">
        <v>149</v>
      </c>
      <c r="W82" s="30"/>
      <c r="X82" s="30">
        <v>18</v>
      </c>
      <c r="Y82" s="36" t="s">
        <v>150</v>
      </c>
      <c r="Z82" s="31" t="s">
        <v>94</v>
      </c>
      <c r="AA82" s="31" t="s">
        <v>95</v>
      </c>
      <c r="AB82" s="32" t="s">
        <v>96</v>
      </c>
      <c r="AC82" s="32" t="s">
        <v>97</v>
      </c>
      <c r="AD82" s="31">
        <v>18</v>
      </c>
      <c r="AE82" s="32"/>
      <c r="AF82" s="32"/>
      <c r="AG82" s="26"/>
      <c r="AH82" s="26"/>
      <c r="AI82" s="33" t="s">
        <v>98</v>
      </c>
      <c r="AJ82" s="32"/>
      <c r="AK82" s="32"/>
      <c r="AL82" s="23">
        <f t="shared" ref="AL82" si="22">AE82*AK82</f>
        <v>0</v>
      </c>
      <c r="AM82" s="34"/>
      <c r="AN82" s="26"/>
      <c r="AO82" s="26"/>
      <c r="AP82" s="26"/>
      <c r="AQ82" s="26"/>
      <c r="AR82" s="26"/>
      <c r="AS82" s="26"/>
      <c r="AT82" s="26"/>
      <c r="AU82" s="26"/>
      <c r="AV82" s="29"/>
      <c r="AW82" s="35"/>
      <c r="AX82" s="35"/>
      <c r="AY82" s="29"/>
      <c r="AZ82" s="29"/>
      <c r="BA82" s="35"/>
      <c r="BB82" s="26"/>
      <c r="BC82" s="39" t="s">
        <v>147</v>
      </c>
      <c r="BD82" s="26" t="s">
        <v>103</v>
      </c>
    </row>
    <row r="83" spans="1:56" ht="13" x14ac:dyDescent="0.3">
      <c r="A83" s="26"/>
      <c r="B83" s="26">
        <v>1</v>
      </c>
      <c r="C83" s="26"/>
      <c r="D83" s="27"/>
      <c r="E83" s="26"/>
      <c r="F83" s="40">
        <v>46297</v>
      </c>
      <c r="G83" s="41">
        <v>1</v>
      </c>
      <c r="H83" s="42">
        <v>309</v>
      </c>
      <c r="I83" s="42" t="s">
        <v>87</v>
      </c>
      <c r="J83" s="42">
        <v>235</v>
      </c>
      <c r="K83" s="43" t="s">
        <v>164</v>
      </c>
      <c r="L83" s="67"/>
      <c r="M83" s="67"/>
      <c r="N83" s="67"/>
      <c r="O83" s="67"/>
      <c r="P83" s="67"/>
      <c r="Q83" s="67"/>
      <c r="R83" s="67"/>
      <c r="S83" s="47"/>
      <c r="T83" s="47"/>
      <c r="U83" s="47"/>
      <c r="V83" s="42" t="s">
        <v>149</v>
      </c>
      <c r="W83" s="42"/>
      <c r="X83" s="42">
        <v>18</v>
      </c>
      <c r="Y83" s="83" t="s">
        <v>150</v>
      </c>
      <c r="Z83" s="43" t="s">
        <v>94</v>
      </c>
      <c r="AA83" s="43" t="s">
        <v>95</v>
      </c>
      <c r="AB83" s="44" t="s">
        <v>96</v>
      </c>
      <c r="AC83" s="44" t="s">
        <v>97</v>
      </c>
      <c r="AD83" s="31">
        <v>18</v>
      </c>
      <c r="AE83" s="44">
        <v>200</v>
      </c>
      <c r="AF83" s="32"/>
      <c r="AG83" s="48" t="s">
        <v>151</v>
      </c>
      <c r="AH83" s="26"/>
      <c r="AI83" s="38" t="s">
        <v>120</v>
      </c>
      <c r="AJ83" s="32"/>
      <c r="AK83" s="59">
        <v>101</v>
      </c>
      <c r="AL83" s="60">
        <f>AD83*AK83</f>
        <v>1818</v>
      </c>
      <c r="AM83" s="50">
        <v>0.22</v>
      </c>
      <c r="AN83" s="61">
        <v>140</v>
      </c>
      <c r="AO83" s="62"/>
      <c r="AP83" s="57">
        <v>12</v>
      </c>
      <c r="AQ83" s="58">
        <v>46297</v>
      </c>
      <c r="AR83" s="26"/>
      <c r="AS83" s="26"/>
      <c r="AT83" s="26"/>
      <c r="AU83" s="26"/>
      <c r="AV83" s="49" t="s">
        <v>100</v>
      </c>
      <c r="AW83" s="35"/>
      <c r="AX83" s="35"/>
      <c r="AY83" s="29"/>
      <c r="AZ83" s="29"/>
      <c r="BA83" s="35">
        <v>46297</v>
      </c>
      <c r="BB83" s="58">
        <v>46298</v>
      </c>
      <c r="BC83" s="39" t="s">
        <v>147</v>
      </c>
      <c r="BD83" s="48" t="s">
        <v>122</v>
      </c>
    </row>
    <row r="84" spans="1:56" ht="13" x14ac:dyDescent="0.3">
      <c r="A84" s="26"/>
      <c r="B84" s="26">
        <v>1</v>
      </c>
      <c r="C84" s="26"/>
      <c r="D84" s="27"/>
      <c r="E84" s="26"/>
      <c r="F84" s="40">
        <v>46297</v>
      </c>
      <c r="G84" s="41">
        <v>1</v>
      </c>
      <c r="H84" s="42">
        <v>309</v>
      </c>
      <c r="I84" s="42" t="s">
        <v>87</v>
      </c>
      <c r="J84" s="42">
        <v>235</v>
      </c>
      <c r="K84" s="43" t="s">
        <v>164</v>
      </c>
      <c r="L84" s="67"/>
      <c r="M84" s="67"/>
      <c r="N84" s="67"/>
      <c r="O84" s="67"/>
      <c r="P84" s="67"/>
      <c r="Q84" s="67"/>
      <c r="R84" s="67"/>
      <c r="S84" s="47"/>
      <c r="T84" s="47"/>
      <c r="U84" s="47"/>
      <c r="V84" s="42" t="s">
        <v>149</v>
      </c>
      <c r="W84" s="42"/>
      <c r="X84" s="42">
        <v>18</v>
      </c>
      <c r="Y84" s="83" t="s">
        <v>150</v>
      </c>
      <c r="Z84" s="43" t="s">
        <v>94</v>
      </c>
      <c r="AA84" s="43" t="s">
        <v>95</v>
      </c>
      <c r="AB84" s="44" t="s">
        <v>96</v>
      </c>
      <c r="AC84" s="44" t="s">
        <v>97</v>
      </c>
      <c r="AD84" s="31">
        <v>18</v>
      </c>
      <c r="AE84" s="44">
        <v>200</v>
      </c>
      <c r="AF84" s="32"/>
      <c r="AG84" s="48" t="s">
        <v>152</v>
      </c>
      <c r="AH84" s="26"/>
      <c r="AI84" s="38" t="s">
        <v>120</v>
      </c>
      <c r="AJ84" s="32"/>
      <c r="AK84" s="63">
        <v>101</v>
      </c>
      <c r="AL84" s="60">
        <f t="shared" ref="AL84:AL98" si="23">AD84*AK84</f>
        <v>1818</v>
      </c>
      <c r="AM84" s="65">
        <v>0.22</v>
      </c>
      <c r="AN84" s="66">
        <v>140</v>
      </c>
      <c r="AO84" s="56" t="s">
        <v>121</v>
      </c>
      <c r="AP84" s="67">
        <v>12</v>
      </c>
      <c r="AQ84" s="68">
        <v>46297</v>
      </c>
      <c r="AR84" s="26"/>
      <c r="AS84" s="26"/>
      <c r="AT84" s="26"/>
      <c r="AU84" s="26"/>
      <c r="AV84" s="69" t="s">
        <v>100</v>
      </c>
      <c r="AW84" s="35"/>
      <c r="AX84" s="35"/>
      <c r="AY84" s="29"/>
      <c r="AZ84" s="29"/>
      <c r="BA84" s="35">
        <v>46297</v>
      </c>
      <c r="BB84" s="68">
        <v>46298</v>
      </c>
      <c r="BC84" s="39" t="s">
        <v>147</v>
      </c>
      <c r="BD84" s="48" t="s">
        <v>123</v>
      </c>
    </row>
    <row r="85" spans="1:56" ht="13" x14ac:dyDescent="0.3">
      <c r="A85" s="26"/>
      <c r="B85" s="26">
        <v>1</v>
      </c>
      <c r="C85" s="26"/>
      <c r="D85" s="27"/>
      <c r="E85" s="26"/>
      <c r="F85" s="40">
        <v>46297</v>
      </c>
      <c r="G85" s="41">
        <v>1</v>
      </c>
      <c r="H85" s="42">
        <v>309</v>
      </c>
      <c r="I85" s="42" t="s">
        <v>87</v>
      </c>
      <c r="J85" s="42">
        <v>235</v>
      </c>
      <c r="K85" s="43" t="s">
        <v>164</v>
      </c>
      <c r="L85" s="67"/>
      <c r="M85" s="67"/>
      <c r="N85" s="67"/>
      <c r="O85" s="67"/>
      <c r="P85" s="67"/>
      <c r="Q85" s="67"/>
      <c r="R85" s="67"/>
      <c r="S85" s="47"/>
      <c r="T85" s="47"/>
      <c r="U85" s="47"/>
      <c r="V85" s="42" t="s">
        <v>149</v>
      </c>
      <c r="W85" s="42"/>
      <c r="X85" s="42">
        <v>18</v>
      </c>
      <c r="Y85" s="83" t="s">
        <v>150</v>
      </c>
      <c r="Z85" s="75" t="s">
        <v>94</v>
      </c>
      <c r="AA85" s="75" t="s">
        <v>95</v>
      </c>
      <c r="AB85" s="44" t="s">
        <v>96</v>
      </c>
      <c r="AC85" s="45" t="s">
        <v>97</v>
      </c>
      <c r="AD85" s="31">
        <v>18</v>
      </c>
      <c r="AE85" s="46">
        <v>200</v>
      </c>
      <c r="AF85" s="32"/>
      <c r="AG85" s="48" t="s">
        <v>153</v>
      </c>
      <c r="AH85" s="26"/>
      <c r="AI85" s="38" t="s">
        <v>128</v>
      </c>
      <c r="AJ85" s="32"/>
      <c r="AK85" s="59">
        <v>101</v>
      </c>
      <c r="AL85" s="60">
        <f t="shared" si="23"/>
        <v>1818</v>
      </c>
      <c r="AM85" s="50">
        <v>0.22</v>
      </c>
      <c r="AN85" s="66">
        <v>140</v>
      </c>
      <c r="AO85" s="70" t="s">
        <v>121</v>
      </c>
      <c r="AP85" s="67">
        <v>12</v>
      </c>
      <c r="AQ85" s="68">
        <v>46297</v>
      </c>
      <c r="AR85" s="26"/>
      <c r="AS85" s="26"/>
      <c r="AT85" s="26"/>
      <c r="AU85" s="26"/>
      <c r="AV85" s="49" t="s">
        <v>100</v>
      </c>
      <c r="AW85" s="71">
        <v>46298</v>
      </c>
      <c r="AX85" s="71">
        <v>46297</v>
      </c>
      <c r="AY85" s="72">
        <v>658</v>
      </c>
      <c r="AZ85" s="29"/>
      <c r="BA85" s="35">
        <v>46297</v>
      </c>
      <c r="BB85" s="68">
        <v>46298</v>
      </c>
      <c r="BC85" s="39" t="s">
        <v>147</v>
      </c>
      <c r="BD85" s="48" t="s">
        <v>124</v>
      </c>
    </row>
    <row r="86" spans="1:56" ht="13" x14ac:dyDescent="0.3">
      <c r="A86" s="26"/>
      <c r="B86" s="26">
        <v>1</v>
      </c>
      <c r="C86" s="26"/>
      <c r="D86" s="27"/>
      <c r="E86" s="26"/>
      <c r="F86" s="40">
        <v>46297</v>
      </c>
      <c r="G86" s="41">
        <v>1</v>
      </c>
      <c r="H86" s="42">
        <v>309</v>
      </c>
      <c r="I86" s="42" t="s">
        <v>87</v>
      </c>
      <c r="J86" s="42">
        <v>235</v>
      </c>
      <c r="K86" s="43" t="s">
        <v>164</v>
      </c>
      <c r="L86" s="67"/>
      <c r="M86" s="67"/>
      <c r="N86" s="67"/>
      <c r="O86" s="67"/>
      <c r="P86" s="67"/>
      <c r="Q86" s="67"/>
      <c r="R86" s="67"/>
      <c r="S86" s="47"/>
      <c r="T86" s="47"/>
      <c r="U86" s="47"/>
      <c r="V86" s="42" t="s">
        <v>149</v>
      </c>
      <c r="W86" s="42"/>
      <c r="X86" s="42">
        <v>18</v>
      </c>
      <c r="Y86" s="83" t="s">
        <v>150</v>
      </c>
      <c r="Z86" s="43" t="s">
        <v>94</v>
      </c>
      <c r="AA86" s="43" t="s">
        <v>95</v>
      </c>
      <c r="AB86" s="44" t="s">
        <v>96</v>
      </c>
      <c r="AC86" s="44" t="s">
        <v>97</v>
      </c>
      <c r="AD86" s="31">
        <v>18</v>
      </c>
      <c r="AE86" s="44">
        <v>200</v>
      </c>
      <c r="AF86" s="32"/>
      <c r="AG86" s="48" t="s">
        <v>154</v>
      </c>
      <c r="AH86" s="26"/>
      <c r="AI86" s="78" t="s">
        <v>131</v>
      </c>
      <c r="AJ86" s="79"/>
      <c r="AK86" s="63">
        <v>101</v>
      </c>
      <c r="AL86" s="60">
        <f t="shared" si="23"/>
        <v>1818</v>
      </c>
      <c r="AM86" s="65">
        <v>0.22</v>
      </c>
      <c r="AN86" s="66">
        <v>140</v>
      </c>
      <c r="AO86" s="70" t="s">
        <v>121</v>
      </c>
      <c r="AP86" s="67">
        <v>12</v>
      </c>
      <c r="AQ86" s="68">
        <v>46297</v>
      </c>
      <c r="AR86" s="26"/>
      <c r="AS86" s="26"/>
      <c r="AT86" s="26"/>
      <c r="AU86" s="26"/>
      <c r="AV86" s="69" t="s">
        <v>100</v>
      </c>
      <c r="AW86" s="76">
        <v>46298</v>
      </c>
      <c r="AX86" s="76">
        <v>46297</v>
      </c>
      <c r="AY86" s="41">
        <v>658</v>
      </c>
      <c r="AZ86" s="29"/>
      <c r="BA86" s="35">
        <v>46297</v>
      </c>
      <c r="BB86" s="68">
        <v>46298</v>
      </c>
      <c r="BC86" s="39" t="s">
        <v>147</v>
      </c>
      <c r="BD86" s="48" t="s">
        <v>132</v>
      </c>
    </row>
    <row r="87" spans="1:56" ht="13" x14ac:dyDescent="0.3">
      <c r="A87" s="26"/>
      <c r="B87" s="26">
        <v>1</v>
      </c>
      <c r="C87" s="26"/>
      <c r="D87" s="27"/>
      <c r="E87" s="26"/>
      <c r="F87" s="40">
        <v>46297</v>
      </c>
      <c r="G87" s="41">
        <v>1</v>
      </c>
      <c r="H87" s="42">
        <v>309</v>
      </c>
      <c r="I87" s="42" t="s">
        <v>87</v>
      </c>
      <c r="J87" s="42">
        <v>235</v>
      </c>
      <c r="K87" s="43" t="s">
        <v>164</v>
      </c>
      <c r="L87" s="67"/>
      <c r="M87" s="67"/>
      <c r="N87" s="67"/>
      <c r="O87" s="67"/>
      <c r="P87" s="67"/>
      <c r="Q87" s="67"/>
      <c r="R87" s="67"/>
      <c r="S87" s="47"/>
      <c r="T87" s="47"/>
      <c r="U87" s="47"/>
      <c r="V87" s="42" t="s">
        <v>149</v>
      </c>
      <c r="W87" s="42"/>
      <c r="X87" s="42">
        <v>18</v>
      </c>
      <c r="Y87" s="83" t="s">
        <v>150</v>
      </c>
      <c r="Z87" s="43" t="s">
        <v>94</v>
      </c>
      <c r="AA87" s="43" t="s">
        <v>95</v>
      </c>
      <c r="AB87" s="44" t="s">
        <v>96</v>
      </c>
      <c r="AC87" s="44" t="s">
        <v>97</v>
      </c>
      <c r="AD87" s="31">
        <v>18</v>
      </c>
      <c r="AE87" s="44">
        <v>200</v>
      </c>
      <c r="AF87" s="32"/>
      <c r="AG87" s="48" t="s">
        <v>155</v>
      </c>
      <c r="AH87" s="26"/>
      <c r="AI87" s="38" t="s">
        <v>129</v>
      </c>
      <c r="AJ87" s="77" t="s">
        <v>126</v>
      </c>
      <c r="AK87" s="63">
        <v>101</v>
      </c>
      <c r="AL87" s="60">
        <f t="shared" si="23"/>
        <v>1818</v>
      </c>
      <c r="AM87" s="65">
        <v>0.22</v>
      </c>
      <c r="AN87" s="66">
        <v>140</v>
      </c>
      <c r="AO87" s="70" t="s">
        <v>121</v>
      </c>
      <c r="AP87" s="67">
        <v>12</v>
      </c>
      <c r="AQ87" s="68">
        <v>46297</v>
      </c>
      <c r="AR87" s="26"/>
      <c r="AS87" s="26"/>
      <c r="AT87" s="26"/>
      <c r="AU87" s="26"/>
      <c r="AV87" s="69" t="s">
        <v>100</v>
      </c>
      <c r="AW87" s="76">
        <v>46298</v>
      </c>
      <c r="AX87" s="76">
        <v>46297</v>
      </c>
      <c r="AY87" s="41">
        <v>658</v>
      </c>
      <c r="AZ87" s="29"/>
      <c r="BA87" s="35">
        <v>46297</v>
      </c>
      <c r="BB87" s="68">
        <v>46298</v>
      </c>
      <c r="BC87" s="39" t="s">
        <v>147</v>
      </c>
      <c r="BD87" s="48" t="s">
        <v>127</v>
      </c>
    </row>
    <row r="88" spans="1:56" ht="13" x14ac:dyDescent="0.3">
      <c r="A88" s="26"/>
      <c r="B88" s="26">
        <v>1</v>
      </c>
      <c r="C88" s="26"/>
      <c r="D88" s="27"/>
      <c r="E88" s="26"/>
      <c r="F88" s="40">
        <v>46297</v>
      </c>
      <c r="G88" s="41">
        <v>1</v>
      </c>
      <c r="H88" s="42">
        <v>309</v>
      </c>
      <c r="I88" s="42" t="s">
        <v>87</v>
      </c>
      <c r="J88" s="42">
        <v>235</v>
      </c>
      <c r="K88" s="43" t="s">
        <v>164</v>
      </c>
      <c r="L88" s="67"/>
      <c r="M88" s="67"/>
      <c r="N88" s="67"/>
      <c r="O88" s="67"/>
      <c r="P88" s="67"/>
      <c r="Q88" s="67"/>
      <c r="R88" s="67"/>
      <c r="S88" s="47"/>
      <c r="T88" s="47"/>
      <c r="U88" s="47"/>
      <c r="V88" s="42" t="s">
        <v>149</v>
      </c>
      <c r="W88" s="42"/>
      <c r="X88" s="42">
        <v>18</v>
      </c>
      <c r="Y88" s="83" t="s">
        <v>150</v>
      </c>
      <c r="Z88" s="43" t="s">
        <v>94</v>
      </c>
      <c r="AA88" s="43" t="s">
        <v>95</v>
      </c>
      <c r="AB88" s="44" t="s">
        <v>96</v>
      </c>
      <c r="AC88" s="44" t="s">
        <v>97</v>
      </c>
      <c r="AD88" s="31">
        <v>18</v>
      </c>
      <c r="AE88" s="44">
        <v>200</v>
      </c>
      <c r="AF88" s="32">
        <v>18</v>
      </c>
      <c r="AG88" s="48" t="s">
        <v>156</v>
      </c>
      <c r="AH88" s="26"/>
      <c r="AI88" s="38" t="s">
        <v>130</v>
      </c>
      <c r="AJ88" s="79" t="s">
        <v>126</v>
      </c>
      <c r="AK88" s="63">
        <v>101</v>
      </c>
      <c r="AL88" s="60">
        <f t="shared" si="23"/>
        <v>1818</v>
      </c>
      <c r="AM88" s="65">
        <v>0.22</v>
      </c>
      <c r="AN88" s="66">
        <v>140</v>
      </c>
      <c r="AO88" s="70" t="s">
        <v>121</v>
      </c>
      <c r="AP88" s="67">
        <v>12</v>
      </c>
      <c r="AQ88" s="68">
        <v>46297</v>
      </c>
      <c r="AR88" s="57"/>
      <c r="AS88" s="57">
        <v>1.5</v>
      </c>
      <c r="AT88" s="61">
        <f t="shared" ref="AT88:AT95" si="24">AN88*AS88</f>
        <v>210</v>
      </c>
      <c r="AU88" s="61">
        <f t="shared" ref="AU88:AU95" si="25">AT88*AD88</f>
        <v>3780</v>
      </c>
      <c r="AV88" s="69" t="s">
        <v>100</v>
      </c>
      <c r="AW88" s="76">
        <v>46298</v>
      </c>
      <c r="AX88" s="76">
        <v>46297</v>
      </c>
      <c r="AY88" s="41">
        <v>658</v>
      </c>
      <c r="AZ88" s="29"/>
      <c r="BA88" s="35">
        <v>46297</v>
      </c>
      <c r="BB88" s="68">
        <v>46298</v>
      </c>
      <c r="BC88" s="39" t="s">
        <v>147</v>
      </c>
      <c r="BD88" s="48" t="s">
        <v>133</v>
      </c>
    </row>
    <row r="89" spans="1:56" ht="13" x14ac:dyDescent="0.3">
      <c r="A89" s="26"/>
      <c r="B89" s="26">
        <v>1</v>
      </c>
      <c r="C89" s="26"/>
      <c r="D89" s="27"/>
      <c r="E89" s="26"/>
      <c r="F89" s="40">
        <v>46297</v>
      </c>
      <c r="G89" s="41">
        <v>1</v>
      </c>
      <c r="H89" s="42">
        <v>309</v>
      </c>
      <c r="I89" s="42" t="s">
        <v>87</v>
      </c>
      <c r="J89" s="42">
        <v>235</v>
      </c>
      <c r="K89" s="43" t="s">
        <v>164</v>
      </c>
      <c r="L89" s="67"/>
      <c r="M89" s="67"/>
      <c r="N89" s="67"/>
      <c r="O89" s="67"/>
      <c r="P89" s="67"/>
      <c r="Q89" s="67"/>
      <c r="R89" s="67"/>
      <c r="S89" s="47"/>
      <c r="T89" s="47"/>
      <c r="U89" s="47"/>
      <c r="V89" s="42" t="s">
        <v>149</v>
      </c>
      <c r="W89" s="42"/>
      <c r="X89" s="42">
        <v>18</v>
      </c>
      <c r="Y89" s="83" t="s">
        <v>150</v>
      </c>
      <c r="Z89" s="81" t="s">
        <v>94</v>
      </c>
      <c r="AA89" s="81" t="s">
        <v>95</v>
      </c>
      <c r="AB89" s="44" t="s">
        <v>96</v>
      </c>
      <c r="AC89" s="44" t="s">
        <v>97</v>
      </c>
      <c r="AD89" s="31">
        <v>18</v>
      </c>
      <c r="AE89" s="44">
        <v>200</v>
      </c>
      <c r="AF89" s="32">
        <v>18</v>
      </c>
      <c r="AG89" s="48" t="s">
        <v>157</v>
      </c>
      <c r="AH89" s="57"/>
      <c r="AI89" s="38" t="s">
        <v>105</v>
      </c>
      <c r="AJ89" s="79" t="s">
        <v>126</v>
      </c>
      <c r="AK89" s="63">
        <v>101</v>
      </c>
      <c r="AL89" s="60">
        <f t="shared" si="23"/>
        <v>1818</v>
      </c>
      <c r="AM89" s="65">
        <v>0.22</v>
      </c>
      <c r="AN89" s="66">
        <v>140</v>
      </c>
      <c r="AO89" s="70" t="s">
        <v>121</v>
      </c>
      <c r="AP89" s="67">
        <v>12</v>
      </c>
      <c r="AQ89" s="68">
        <v>46297</v>
      </c>
      <c r="AR89" s="57"/>
      <c r="AS89" s="57">
        <v>1.5</v>
      </c>
      <c r="AT89" s="61">
        <f t="shared" si="24"/>
        <v>210</v>
      </c>
      <c r="AU89" s="61">
        <f t="shared" si="25"/>
        <v>3780</v>
      </c>
      <c r="AV89" s="69" t="s">
        <v>100</v>
      </c>
      <c r="AW89" s="76">
        <v>46298</v>
      </c>
      <c r="AX89" s="76">
        <v>46297</v>
      </c>
      <c r="AY89" s="41">
        <v>658</v>
      </c>
      <c r="AZ89" s="29"/>
      <c r="BA89" s="35">
        <v>46297</v>
      </c>
      <c r="BB89" s="68">
        <v>46298</v>
      </c>
      <c r="BC89" s="39" t="s">
        <v>147</v>
      </c>
      <c r="BD89" s="62" t="s">
        <v>134</v>
      </c>
    </row>
    <row r="90" spans="1:56" ht="13" x14ac:dyDescent="0.3">
      <c r="A90" s="26"/>
      <c r="B90" s="26">
        <v>1</v>
      </c>
      <c r="C90" s="26"/>
      <c r="D90" s="27"/>
      <c r="E90" s="26"/>
      <c r="F90" s="40">
        <v>46297</v>
      </c>
      <c r="G90" s="41">
        <v>1</v>
      </c>
      <c r="H90" s="42">
        <v>309</v>
      </c>
      <c r="I90" s="42" t="s">
        <v>87</v>
      </c>
      <c r="J90" s="42">
        <v>235</v>
      </c>
      <c r="K90" s="43" t="s">
        <v>164</v>
      </c>
      <c r="L90" s="67"/>
      <c r="M90" s="67"/>
      <c r="N90" s="67"/>
      <c r="O90" s="67"/>
      <c r="P90" s="67"/>
      <c r="Q90" s="67"/>
      <c r="R90" s="67"/>
      <c r="S90" s="47"/>
      <c r="T90" s="47"/>
      <c r="U90" s="47"/>
      <c r="V90" s="42" t="s">
        <v>149</v>
      </c>
      <c r="W90" s="42"/>
      <c r="X90" s="42">
        <v>18</v>
      </c>
      <c r="Y90" s="83" t="s">
        <v>150</v>
      </c>
      <c r="Z90" s="43" t="s">
        <v>94</v>
      </c>
      <c r="AA90" s="43" t="s">
        <v>95</v>
      </c>
      <c r="AB90" s="44" t="s">
        <v>96</v>
      </c>
      <c r="AC90" s="44" t="s">
        <v>97</v>
      </c>
      <c r="AD90" s="31">
        <v>18</v>
      </c>
      <c r="AE90" s="44">
        <v>200</v>
      </c>
      <c r="AF90" s="32">
        <v>18</v>
      </c>
      <c r="AG90" s="48" t="s">
        <v>158</v>
      </c>
      <c r="AH90" s="26"/>
      <c r="AI90" s="24" t="s">
        <v>107</v>
      </c>
      <c r="AJ90" s="79" t="s">
        <v>126</v>
      </c>
      <c r="AK90" s="63">
        <v>101</v>
      </c>
      <c r="AL90" s="60">
        <f t="shared" si="23"/>
        <v>1818</v>
      </c>
      <c r="AM90" s="65">
        <v>0.22</v>
      </c>
      <c r="AN90" s="66">
        <v>140</v>
      </c>
      <c r="AO90" s="70" t="s">
        <v>121</v>
      </c>
      <c r="AP90" s="67">
        <v>12</v>
      </c>
      <c r="AQ90" s="68">
        <v>46297</v>
      </c>
      <c r="AR90" s="26"/>
      <c r="AS90" s="67">
        <v>1.5</v>
      </c>
      <c r="AT90" s="66">
        <f t="shared" si="24"/>
        <v>210</v>
      </c>
      <c r="AU90" s="66">
        <f t="shared" si="25"/>
        <v>3780</v>
      </c>
      <c r="AV90" s="69" t="s">
        <v>100</v>
      </c>
      <c r="AW90" s="76">
        <v>46298</v>
      </c>
      <c r="AX90" s="76">
        <v>46297</v>
      </c>
      <c r="AY90" s="41">
        <v>658</v>
      </c>
      <c r="AZ90" s="29"/>
      <c r="BA90" s="35">
        <v>46297</v>
      </c>
      <c r="BB90" s="68">
        <v>46298</v>
      </c>
      <c r="BC90" s="39" t="s">
        <v>147</v>
      </c>
      <c r="BD90" s="62" t="s">
        <v>135</v>
      </c>
    </row>
    <row r="91" spans="1:56" ht="13" x14ac:dyDescent="0.3">
      <c r="A91" s="26"/>
      <c r="B91" s="26">
        <v>1</v>
      </c>
      <c r="C91" s="26"/>
      <c r="D91" s="27"/>
      <c r="E91" s="26"/>
      <c r="F91" s="40">
        <v>46297</v>
      </c>
      <c r="G91" s="41">
        <v>1</v>
      </c>
      <c r="H91" s="42">
        <v>309</v>
      </c>
      <c r="I91" s="42" t="s">
        <v>87</v>
      </c>
      <c r="J91" s="42">
        <v>235</v>
      </c>
      <c r="K91" s="43" t="s">
        <v>164</v>
      </c>
      <c r="L91" s="67"/>
      <c r="M91" s="67"/>
      <c r="N91" s="67"/>
      <c r="O91" s="67"/>
      <c r="P91" s="67"/>
      <c r="Q91" s="67"/>
      <c r="R91" s="67"/>
      <c r="S91" s="47"/>
      <c r="T91" s="47"/>
      <c r="U91" s="47"/>
      <c r="V91" s="42" t="s">
        <v>149</v>
      </c>
      <c r="W91" s="42"/>
      <c r="X91" s="42">
        <v>18</v>
      </c>
      <c r="Y91" s="83" t="s">
        <v>150</v>
      </c>
      <c r="Z91" s="43" t="s">
        <v>94</v>
      </c>
      <c r="AA91" s="43" t="s">
        <v>95</v>
      </c>
      <c r="AB91" s="44" t="s">
        <v>96</v>
      </c>
      <c r="AC91" s="44" t="s">
        <v>97</v>
      </c>
      <c r="AD91" s="31">
        <v>18</v>
      </c>
      <c r="AE91" s="44">
        <v>200</v>
      </c>
      <c r="AF91" s="32">
        <v>18</v>
      </c>
      <c r="AG91" s="48" t="s">
        <v>159</v>
      </c>
      <c r="AH91" s="26"/>
      <c r="AI91" s="24" t="s">
        <v>138</v>
      </c>
      <c r="AJ91" s="79" t="s">
        <v>126</v>
      </c>
      <c r="AK91" s="63">
        <v>101</v>
      </c>
      <c r="AL91" s="60">
        <f t="shared" si="23"/>
        <v>1818</v>
      </c>
      <c r="AM91" s="65">
        <v>0.22</v>
      </c>
      <c r="AN91" s="66">
        <v>140</v>
      </c>
      <c r="AO91" s="70" t="s">
        <v>121</v>
      </c>
      <c r="AP91" s="67">
        <v>12</v>
      </c>
      <c r="AQ91" s="68">
        <v>46297</v>
      </c>
      <c r="AR91" s="26"/>
      <c r="AS91" s="67">
        <v>1.5</v>
      </c>
      <c r="AT91" s="66">
        <f t="shared" si="24"/>
        <v>210</v>
      </c>
      <c r="AU91" s="66">
        <f t="shared" si="25"/>
        <v>3780</v>
      </c>
      <c r="AV91" s="69" t="s">
        <v>100</v>
      </c>
      <c r="AW91" s="76">
        <v>46298</v>
      </c>
      <c r="AX91" s="76">
        <v>46297</v>
      </c>
      <c r="AY91" s="41">
        <v>658</v>
      </c>
      <c r="AZ91" s="29"/>
      <c r="BA91" s="35">
        <v>46297</v>
      </c>
      <c r="BB91" s="68">
        <v>46298</v>
      </c>
      <c r="BC91" s="39" t="s">
        <v>147</v>
      </c>
      <c r="BD91" s="62" t="s">
        <v>139</v>
      </c>
    </row>
    <row r="92" spans="1:56" ht="13" x14ac:dyDescent="0.3">
      <c r="A92" s="26"/>
      <c r="B92" s="26">
        <v>1</v>
      </c>
      <c r="C92" s="26"/>
      <c r="D92" s="27"/>
      <c r="E92" s="26"/>
      <c r="F92" s="40">
        <v>46297</v>
      </c>
      <c r="G92" s="41">
        <v>1</v>
      </c>
      <c r="H92" s="42">
        <v>309</v>
      </c>
      <c r="I92" s="42" t="s">
        <v>87</v>
      </c>
      <c r="J92" s="42">
        <v>235</v>
      </c>
      <c r="K92" s="43" t="s">
        <v>164</v>
      </c>
      <c r="L92" s="67"/>
      <c r="M92" s="67"/>
      <c r="N92" s="67"/>
      <c r="O92" s="67"/>
      <c r="P92" s="67"/>
      <c r="Q92" s="67"/>
      <c r="R92" s="67"/>
      <c r="S92" s="47"/>
      <c r="T92" s="47"/>
      <c r="U92" s="47"/>
      <c r="V92" s="42" t="s">
        <v>149</v>
      </c>
      <c r="W92" s="42"/>
      <c r="X92" s="42">
        <v>18</v>
      </c>
      <c r="Y92" s="83" t="s">
        <v>150</v>
      </c>
      <c r="Z92" s="81" t="s">
        <v>94</v>
      </c>
      <c r="AA92" s="81" t="s">
        <v>95</v>
      </c>
      <c r="AB92" s="44" t="s">
        <v>96</v>
      </c>
      <c r="AC92" s="44" t="s">
        <v>97</v>
      </c>
      <c r="AD92" s="31">
        <v>18</v>
      </c>
      <c r="AE92" s="44">
        <v>200</v>
      </c>
      <c r="AF92" s="32">
        <v>18</v>
      </c>
      <c r="AG92" s="48" t="s">
        <v>160</v>
      </c>
      <c r="AH92" s="57"/>
      <c r="AI92" s="38" t="s">
        <v>105</v>
      </c>
      <c r="AJ92" s="79" t="s">
        <v>126</v>
      </c>
      <c r="AK92" s="63">
        <v>101</v>
      </c>
      <c r="AL92" s="60">
        <f t="shared" si="23"/>
        <v>1818</v>
      </c>
      <c r="AM92" s="65">
        <v>0.22</v>
      </c>
      <c r="AN92" s="66">
        <v>140</v>
      </c>
      <c r="AO92" s="70" t="s">
        <v>121</v>
      </c>
      <c r="AP92" s="67">
        <v>12</v>
      </c>
      <c r="AQ92" s="68">
        <v>46297</v>
      </c>
      <c r="AR92" s="57"/>
      <c r="AS92" s="57">
        <v>1.5</v>
      </c>
      <c r="AT92" s="61">
        <f t="shared" si="24"/>
        <v>210</v>
      </c>
      <c r="AU92" s="61">
        <f t="shared" si="25"/>
        <v>3780</v>
      </c>
      <c r="AV92" s="69" t="s">
        <v>100</v>
      </c>
      <c r="AW92" s="76">
        <v>46298</v>
      </c>
      <c r="AX92" s="76">
        <v>46297</v>
      </c>
      <c r="AY92" s="41">
        <v>658</v>
      </c>
      <c r="AZ92" s="29"/>
      <c r="BA92" s="35">
        <v>46297</v>
      </c>
      <c r="BB92" s="68">
        <v>46298</v>
      </c>
      <c r="BC92" s="39" t="s">
        <v>147</v>
      </c>
      <c r="BD92" s="62" t="s">
        <v>134</v>
      </c>
    </row>
    <row r="93" spans="1:56" ht="13" x14ac:dyDescent="0.3">
      <c r="A93" s="26"/>
      <c r="B93" s="26">
        <v>1</v>
      </c>
      <c r="C93" s="26"/>
      <c r="D93" s="27"/>
      <c r="E93" s="26"/>
      <c r="F93" s="40">
        <v>46297</v>
      </c>
      <c r="G93" s="41">
        <v>1</v>
      </c>
      <c r="H93" s="42">
        <v>309</v>
      </c>
      <c r="I93" s="42" t="s">
        <v>87</v>
      </c>
      <c r="J93" s="42">
        <v>235</v>
      </c>
      <c r="K93" s="43" t="s">
        <v>164</v>
      </c>
      <c r="L93" s="67"/>
      <c r="M93" s="67"/>
      <c r="N93" s="67"/>
      <c r="O93" s="67"/>
      <c r="P93" s="67"/>
      <c r="Q93" s="67"/>
      <c r="R93" s="67"/>
      <c r="S93" s="47"/>
      <c r="T93" s="47"/>
      <c r="U93" s="47"/>
      <c r="V93" s="42" t="s">
        <v>149</v>
      </c>
      <c r="W93" s="42"/>
      <c r="X93" s="42">
        <v>18</v>
      </c>
      <c r="Y93" s="83" t="s">
        <v>150</v>
      </c>
      <c r="Z93" s="43" t="s">
        <v>94</v>
      </c>
      <c r="AA93" s="43" t="s">
        <v>95</v>
      </c>
      <c r="AB93" s="44" t="s">
        <v>96</v>
      </c>
      <c r="AC93" s="44" t="s">
        <v>97</v>
      </c>
      <c r="AD93" s="31">
        <v>18</v>
      </c>
      <c r="AE93" s="44">
        <v>200</v>
      </c>
      <c r="AF93" s="32">
        <v>18</v>
      </c>
      <c r="AG93" s="48" t="s">
        <v>161</v>
      </c>
      <c r="AH93" s="26"/>
      <c r="AI93" s="24" t="s">
        <v>107</v>
      </c>
      <c r="AJ93" s="79" t="s">
        <v>126</v>
      </c>
      <c r="AK93" s="63">
        <v>101</v>
      </c>
      <c r="AL93" s="60">
        <f t="shared" si="23"/>
        <v>1818</v>
      </c>
      <c r="AM93" s="65">
        <v>0.22</v>
      </c>
      <c r="AN93" s="66">
        <v>140</v>
      </c>
      <c r="AO93" s="70" t="s">
        <v>121</v>
      </c>
      <c r="AP93" s="67">
        <v>12</v>
      </c>
      <c r="AQ93" s="68">
        <v>46297</v>
      </c>
      <c r="AR93" s="26"/>
      <c r="AS93" s="67">
        <v>1.5</v>
      </c>
      <c r="AT93" s="66">
        <f t="shared" si="24"/>
        <v>210</v>
      </c>
      <c r="AU93" s="66">
        <f t="shared" si="25"/>
        <v>3780</v>
      </c>
      <c r="AV93" s="69" t="s">
        <v>100</v>
      </c>
      <c r="AW93" s="76">
        <v>46298</v>
      </c>
      <c r="AX93" s="76">
        <v>46297</v>
      </c>
      <c r="AY93" s="41">
        <v>658</v>
      </c>
      <c r="AZ93" s="29"/>
      <c r="BA93" s="35">
        <v>46297</v>
      </c>
      <c r="BB93" s="68">
        <v>46298</v>
      </c>
      <c r="BC93" s="39" t="s">
        <v>147</v>
      </c>
      <c r="BD93" s="62" t="s">
        <v>135</v>
      </c>
    </row>
    <row r="94" spans="1:56" ht="13" x14ac:dyDescent="0.3">
      <c r="A94" s="26"/>
      <c r="B94" s="26">
        <v>1</v>
      </c>
      <c r="C94" s="26"/>
      <c r="D94" s="27"/>
      <c r="E94" s="26"/>
      <c r="F94" s="40">
        <v>46297</v>
      </c>
      <c r="G94" s="41">
        <v>1</v>
      </c>
      <c r="H94" s="42">
        <v>309</v>
      </c>
      <c r="I94" s="42" t="s">
        <v>87</v>
      </c>
      <c r="J94" s="42">
        <v>235</v>
      </c>
      <c r="K94" s="43" t="s">
        <v>164</v>
      </c>
      <c r="L94" s="67"/>
      <c r="M94" s="67"/>
      <c r="N94" s="67"/>
      <c r="O94" s="67"/>
      <c r="P94" s="67"/>
      <c r="Q94" s="67"/>
      <c r="R94" s="67"/>
      <c r="S94" s="47"/>
      <c r="T94" s="47"/>
      <c r="U94" s="47"/>
      <c r="V94" s="42" t="s">
        <v>149</v>
      </c>
      <c r="W94" s="42"/>
      <c r="X94" s="42">
        <v>18</v>
      </c>
      <c r="Y94" s="83" t="s">
        <v>150</v>
      </c>
      <c r="Z94" s="43" t="s">
        <v>94</v>
      </c>
      <c r="AA94" s="43" t="s">
        <v>95</v>
      </c>
      <c r="AB94" s="44" t="s">
        <v>96</v>
      </c>
      <c r="AC94" s="44" t="s">
        <v>97</v>
      </c>
      <c r="AD94" s="31">
        <v>18</v>
      </c>
      <c r="AE94" s="44">
        <v>200</v>
      </c>
      <c r="AF94" s="32">
        <v>18</v>
      </c>
      <c r="AG94" s="48" t="s">
        <v>162</v>
      </c>
      <c r="AH94" s="26"/>
      <c r="AI94" s="24" t="s">
        <v>108</v>
      </c>
      <c r="AJ94" s="79" t="s">
        <v>126</v>
      </c>
      <c r="AK94" s="63">
        <v>101</v>
      </c>
      <c r="AL94" s="60">
        <f t="shared" si="23"/>
        <v>1818</v>
      </c>
      <c r="AM94" s="65">
        <v>0.22</v>
      </c>
      <c r="AN94" s="66">
        <v>140</v>
      </c>
      <c r="AO94" s="70" t="s">
        <v>121</v>
      </c>
      <c r="AP94" s="67">
        <v>12</v>
      </c>
      <c r="AQ94" s="68">
        <v>46297</v>
      </c>
      <c r="AR94" s="57"/>
      <c r="AS94" s="57">
        <v>1.5</v>
      </c>
      <c r="AT94" s="61">
        <f t="shared" si="24"/>
        <v>210</v>
      </c>
      <c r="AU94" s="61">
        <f t="shared" si="25"/>
        <v>3780</v>
      </c>
      <c r="AV94" s="69" t="s">
        <v>100</v>
      </c>
      <c r="AW94" s="76">
        <v>46298</v>
      </c>
      <c r="AX94" s="76">
        <v>46297</v>
      </c>
      <c r="AY94" s="41">
        <v>658</v>
      </c>
      <c r="AZ94" s="29"/>
      <c r="BA94" s="35">
        <v>46297</v>
      </c>
      <c r="BB94" s="68">
        <v>46298</v>
      </c>
      <c r="BC94" s="39" t="s">
        <v>147</v>
      </c>
      <c r="BD94" s="48" t="s">
        <v>136</v>
      </c>
    </row>
    <row r="95" spans="1:56" ht="13" x14ac:dyDescent="0.3">
      <c r="A95" s="26"/>
      <c r="B95" s="26">
        <v>1</v>
      </c>
      <c r="C95" s="26"/>
      <c r="D95" s="27"/>
      <c r="E95" s="26"/>
      <c r="F95" s="40">
        <v>46297</v>
      </c>
      <c r="G95" s="41">
        <v>1</v>
      </c>
      <c r="H95" s="42">
        <v>309</v>
      </c>
      <c r="I95" s="42" t="s">
        <v>87</v>
      </c>
      <c r="J95" s="42">
        <v>235</v>
      </c>
      <c r="K95" s="43" t="s">
        <v>164</v>
      </c>
      <c r="L95" s="67"/>
      <c r="M95" s="67"/>
      <c r="N95" s="67"/>
      <c r="O95" s="67"/>
      <c r="P95" s="67"/>
      <c r="Q95" s="67"/>
      <c r="R95" s="67"/>
      <c r="S95" s="47"/>
      <c r="T95" s="47"/>
      <c r="U95" s="47"/>
      <c r="V95" s="42" t="s">
        <v>149</v>
      </c>
      <c r="W95" s="42"/>
      <c r="X95" s="42">
        <v>18</v>
      </c>
      <c r="Y95" s="83" t="s">
        <v>150</v>
      </c>
      <c r="Z95" s="43" t="s">
        <v>94</v>
      </c>
      <c r="AA95" s="43" t="s">
        <v>95</v>
      </c>
      <c r="AB95" s="44" t="s">
        <v>96</v>
      </c>
      <c r="AC95" s="44" t="s">
        <v>97</v>
      </c>
      <c r="AD95" s="31">
        <v>18</v>
      </c>
      <c r="AE95" s="44">
        <v>200</v>
      </c>
      <c r="AF95" s="32">
        <v>18</v>
      </c>
      <c r="AG95" s="48" t="s">
        <v>163</v>
      </c>
      <c r="AH95" s="26"/>
      <c r="AI95" s="24" t="s">
        <v>146</v>
      </c>
      <c r="AJ95" s="79" t="s">
        <v>126</v>
      </c>
      <c r="AK95" s="63">
        <v>101</v>
      </c>
      <c r="AL95" s="60">
        <f t="shared" si="23"/>
        <v>1818</v>
      </c>
      <c r="AM95" s="65">
        <v>0.22</v>
      </c>
      <c r="AN95" s="66">
        <v>140</v>
      </c>
      <c r="AO95" s="70" t="s">
        <v>121</v>
      </c>
      <c r="AP95" s="67">
        <v>12</v>
      </c>
      <c r="AQ95" s="68">
        <v>46297</v>
      </c>
      <c r="AR95" s="57"/>
      <c r="AS95" s="57">
        <v>1.5</v>
      </c>
      <c r="AT95" s="61">
        <f t="shared" si="24"/>
        <v>210</v>
      </c>
      <c r="AU95" s="61">
        <f t="shared" si="25"/>
        <v>3780</v>
      </c>
      <c r="AV95" s="69" t="s">
        <v>100</v>
      </c>
      <c r="AW95" s="76">
        <v>46298</v>
      </c>
      <c r="AX95" s="76">
        <v>46297</v>
      </c>
      <c r="AY95" s="41">
        <v>658</v>
      </c>
      <c r="AZ95" s="29"/>
      <c r="BA95" s="35">
        <v>46297</v>
      </c>
      <c r="BB95" s="68">
        <v>46298</v>
      </c>
      <c r="BC95" s="39" t="s">
        <v>147</v>
      </c>
      <c r="BD95" s="48" t="s">
        <v>148</v>
      </c>
    </row>
    <row r="96" spans="1:56" ht="13" x14ac:dyDescent="0.3">
      <c r="A96" s="26"/>
      <c r="B96" s="26">
        <v>1</v>
      </c>
      <c r="C96" s="26"/>
      <c r="D96" s="27"/>
      <c r="E96" s="26"/>
      <c r="F96" s="40">
        <v>46297</v>
      </c>
      <c r="G96" s="41">
        <v>1</v>
      </c>
      <c r="H96" s="42">
        <v>309</v>
      </c>
      <c r="I96" s="42" t="s">
        <v>87</v>
      </c>
      <c r="J96" s="42">
        <v>235</v>
      </c>
      <c r="K96" s="43" t="s">
        <v>164</v>
      </c>
      <c r="L96" s="67"/>
      <c r="M96" s="67"/>
      <c r="N96" s="67"/>
      <c r="O96" s="67"/>
      <c r="P96" s="67"/>
      <c r="Q96" s="67"/>
      <c r="R96" s="67"/>
      <c r="S96" s="47"/>
      <c r="T96" s="47"/>
      <c r="U96" s="47"/>
      <c r="V96" s="84" t="s">
        <v>176</v>
      </c>
      <c r="W96" s="85"/>
      <c r="X96" s="85">
        <v>1</v>
      </c>
      <c r="Y96" s="84" t="s">
        <v>168</v>
      </c>
      <c r="Z96" s="86" t="s">
        <v>177</v>
      </c>
      <c r="AA96" s="81"/>
      <c r="AB96" s="46"/>
      <c r="AC96" s="77" t="s">
        <v>169</v>
      </c>
      <c r="AD96" s="81">
        <v>2</v>
      </c>
      <c r="AE96" s="44"/>
      <c r="AF96" s="32"/>
      <c r="AG96" s="26"/>
      <c r="AH96" s="26"/>
      <c r="AI96" s="24" t="s">
        <v>170</v>
      </c>
      <c r="AJ96" s="79"/>
      <c r="AK96" s="59">
        <v>800</v>
      </c>
      <c r="AL96" s="87">
        <f t="shared" si="23"/>
        <v>1600</v>
      </c>
      <c r="AM96" s="88" t="s">
        <v>173</v>
      </c>
      <c r="AN96" s="66"/>
      <c r="AO96" s="70"/>
      <c r="AP96" s="67"/>
      <c r="AQ96" s="68"/>
      <c r="AR96" s="57">
        <v>2</v>
      </c>
      <c r="AS96" s="57"/>
      <c r="AT96" s="61">
        <v>6000</v>
      </c>
      <c r="AU96" s="61">
        <f>AR96*AT96</f>
        <v>12000</v>
      </c>
      <c r="AV96" s="49" t="s">
        <v>174</v>
      </c>
      <c r="AW96" s="76"/>
      <c r="AX96" s="76"/>
      <c r="AY96" s="41"/>
      <c r="AZ96" s="29"/>
      <c r="BA96" s="35"/>
      <c r="BB96" s="58">
        <v>46297</v>
      </c>
      <c r="BC96" s="39" t="s">
        <v>147</v>
      </c>
      <c r="BD96" s="22" t="s">
        <v>178</v>
      </c>
    </row>
    <row r="97" spans="1:56" ht="13" x14ac:dyDescent="0.3">
      <c r="A97" s="26"/>
      <c r="B97" s="26">
        <v>1</v>
      </c>
      <c r="C97" s="26"/>
      <c r="D97" s="27"/>
      <c r="E97" s="26"/>
      <c r="F97" s="40">
        <v>46297</v>
      </c>
      <c r="G97" s="41">
        <v>1</v>
      </c>
      <c r="H97" s="42">
        <v>309</v>
      </c>
      <c r="I97" s="42" t="s">
        <v>87</v>
      </c>
      <c r="J97" s="42">
        <v>235</v>
      </c>
      <c r="K97" s="43" t="s">
        <v>164</v>
      </c>
      <c r="L97" s="67"/>
      <c r="M97" s="67"/>
      <c r="N97" s="67"/>
      <c r="O97" s="67"/>
      <c r="P97" s="67"/>
      <c r="Q97" s="67"/>
      <c r="R97" s="67"/>
      <c r="S97" s="47"/>
      <c r="T97" s="47"/>
      <c r="U97" s="47"/>
      <c r="V97" s="84" t="s">
        <v>167</v>
      </c>
      <c r="W97" s="85"/>
      <c r="X97" s="85">
        <v>1</v>
      </c>
      <c r="Y97" s="84" t="s">
        <v>168</v>
      </c>
      <c r="Z97" s="86" t="s">
        <v>166</v>
      </c>
      <c r="AA97" s="81"/>
      <c r="AB97" s="46"/>
      <c r="AC97" s="77" t="s">
        <v>169</v>
      </c>
      <c r="AD97" s="81"/>
      <c r="AE97" s="44"/>
      <c r="AF97" s="32"/>
      <c r="AG97" s="26"/>
      <c r="AH97" s="26"/>
      <c r="AI97" s="24" t="s">
        <v>170</v>
      </c>
      <c r="AJ97" s="79"/>
      <c r="AK97" s="59">
        <v>800</v>
      </c>
      <c r="AL97" s="87">
        <f t="shared" si="23"/>
        <v>0</v>
      </c>
      <c r="AM97" s="88" t="s">
        <v>173</v>
      </c>
      <c r="AN97" s="66"/>
      <c r="AO97" s="70"/>
      <c r="AP97" s="67"/>
      <c r="AQ97" s="68"/>
      <c r="AR97" s="57">
        <v>20</v>
      </c>
      <c r="AS97" s="57"/>
      <c r="AT97" s="61">
        <v>6000</v>
      </c>
      <c r="AU97" s="61">
        <f t="shared" ref="AU97:AU102" si="26">AR97*AT97</f>
        <v>120000</v>
      </c>
      <c r="AV97" s="49"/>
      <c r="AW97" s="76"/>
      <c r="AX97" s="76"/>
      <c r="AY97" s="41"/>
      <c r="AZ97" s="29"/>
      <c r="BA97" s="35"/>
      <c r="BB97" s="58">
        <v>46298</v>
      </c>
      <c r="BC97" s="39" t="s">
        <v>147</v>
      </c>
      <c r="BD97" s="22" t="s">
        <v>179</v>
      </c>
    </row>
    <row r="98" spans="1:56" ht="13" x14ac:dyDescent="0.3">
      <c r="A98" s="26"/>
      <c r="B98" s="26">
        <v>1</v>
      </c>
      <c r="C98" s="26"/>
      <c r="D98" s="27"/>
      <c r="E98" s="26"/>
      <c r="F98" s="40">
        <v>46297</v>
      </c>
      <c r="G98" s="41">
        <v>1</v>
      </c>
      <c r="H98" s="42">
        <v>309</v>
      </c>
      <c r="I98" s="42" t="s">
        <v>87</v>
      </c>
      <c r="J98" s="42">
        <v>235</v>
      </c>
      <c r="K98" s="43" t="s">
        <v>164</v>
      </c>
      <c r="L98" s="67"/>
      <c r="M98" s="67"/>
      <c r="N98" s="67"/>
      <c r="O98" s="67"/>
      <c r="P98" s="67"/>
      <c r="Q98" s="67"/>
      <c r="R98" s="67"/>
      <c r="S98" s="47"/>
      <c r="T98" s="47"/>
      <c r="U98" s="47"/>
      <c r="V98" s="84" t="s">
        <v>171</v>
      </c>
      <c r="W98" s="85"/>
      <c r="X98" s="85">
        <v>1</v>
      </c>
      <c r="Y98" s="84" t="s">
        <v>168</v>
      </c>
      <c r="Z98" s="86" t="s">
        <v>172</v>
      </c>
      <c r="AA98" s="81"/>
      <c r="AB98" s="46"/>
      <c r="AC98" s="77" t="s">
        <v>169</v>
      </c>
      <c r="AD98" s="81"/>
      <c r="AE98" s="44"/>
      <c r="AF98" s="32"/>
      <c r="AG98" s="26"/>
      <c r="AH98" s="26"/>
      <c r="AI98" s="24" t="s">
        <v>170</v>
      </c>
      <c r="AJ98" s="79"/>
      <c r="AK98" s="59">
        <v>800</v>
      </c>
      <c r="AL98" s="87">
        <f t="shared" si="23"/>
        <v>0</v>
      </c>
      <c r="AM98" s="88" t="s">
        <v>173</v>
      </c>
      <c r="AN98" s="66"/>
      <c r="AO98" s="70"/>
      <c r="AP98" s="67"/>
      <c r="AQ98" s="68"/>
      <c r="AR98" s="57">
        <v>3</v>
      </c>
      <c r="AS98" s="57"/>
      <c r="AT98" s="61">
        <v>6000</v>
      </c>
      <c r="AU98" s="61">
        <f t="shared" si="26"/>
        <v>18000</v>
      </c>
      <c r="AV98" s="49"/>
      <c r="AW98" s="76"/>
      <c r="AX98" s="76"/>
      <c r="AY98" s="41"/>
      <c r="AZ98" s="29"/>
      <c r="BA98" s="35"/>
      <c r="BB98" s="58">
        <v>46298</v>
      </c>
      <c r="BC98" s="39" t="s">
        <v>147</v>
      </c>
      <c r="BD98" s="22" t="s">
        <v>165</v>
      </c>
    </row>
    <row r="99" spans="1:56" ht="13" x14ac:dyDescent="0.3">
      <c r="A99" s="26"/>
      <c r="B99" s="26">
        <v>1</v>
      </c>
      <c r="C99" s="26"/>
      <c r="D99" s="27"/>
      <c r="E99" s="26"/>
      <c r="F99" s="40">
        <v>46297</v>
      </c>
      <c r="G99" s="41">
        <v>1</v>
      </c>
      <c r="H99" s="42">
        <v>309</v>
      </c>
      <c r="I99" s="42" t="s">
        <v>87</v>
      </c>
      <c r="J99" s="42">
        <v>235</v>
      </c>
      <c r="K99" s="43" t="s">
        <v>164</v>
      </c>
      <c r="L99" s="67"/>
      <c r="M99" s="67"/>
      <c r="N99" s="67"/>
      <c r="O99" s="67"/>
      <c r="P99" s="67"/>
      <c r="Q99" s="67"/>
      <c r="R99" s="67"/>
      <c r="S99" s="47"/>
      <c r="T99" s="47"/>
      <c r="U99" s="47"/>
      <c r="V99" s="84" t="s">
        <v>167</v>
      </c>
      <c r="W99" s="85"/>
      <c r="X99" s="85">
        <v>1</v>
      </c>
      <c r="Y99" s="84" t="s">
        <v>168</v>
      </c>
      <c r="Z99" s="86" t="s">
        <v>166</v>
      </c>
      <c r="AA99" s="81"/>
      <c r="AB99" s="46"/>
      <c r="AC99" s="77" t="s">
        <v>169</v>
      </c>
      <c r="AD99" s="81">
        <v>8</v>
      </c>
      <c r="AE99" s="44"/>
      <c r="AF99" s="32"/>
      <c r="AG99" s="26"/>
      <c r="AH99" s="26"/>
      <c r="AI99" s="24" t="s">
        <v>170</v>
      </c>
      <c r="AJ99" s="79"/>
      <c r="AK99" s="59">
        <v>800</v>
      </c>
      <c r="AL99" s="87">
        <f t="shared" ref="AL99:AL102" si="27">AD99*AK99</f>
        <v>6400</v>
      </c>
      <c r="AM99" s="88" t="s">
        <v>173</v>
      </c>
      <c r="AN99" s="66"/>
      <c r="AO99" s="70"/>
      <c r="AP99" s="67"/>
      <c r="AQ99" s="68"/>
      <c r="AR99" s="57"/>
      <c r="AS99" s="57"/>
      <c r="AT99" s="61">
        <v>6000</v>
      </c>
      <c r="AU99" s="61">
        <f t="shared" si="26"/>
        <v>0</v>
      </c>
      <c r="AV99" s="49" t="s">
        <v>174</v>
      </c>
      <c r="AW99" s="76"/>
      <c r="AX99" s="76"/>
      <c r="AY99" s="41"/>
      <c r="AZ99" s="29"/>
      <c r="BA99" s="35"/>
      <c r="BB99" s="58">
        <v>46298</v>
      </c>
      <c r="BC99" s="39" t="s">
        <v>147</v>
      </c>
      <c r="BD99" s="22" t="s">
        <v>165</v>
      </c>
    </row>
    <row r="100" spans="1:56" ht="13" x14ac:dyDescent="0.3">
      <c r="A100" s="26"/>
      <c r="B100" s="26">
        <v>1</v>
      </c>
      <c r="C100" s="26"/>
      <c r="D100" s="27"/>
      <c r="E100" s="26"/>
      <c r="F100" s="40">
        <v>46297</v>
      </c>
      <c r="G100" s="41">
        <v>1</v>
      </c>
      <c r="H100" s="42">
        <v>309</v>
      </c>
      <c r="I100" s="42" t="s">
        <v>87</v>
      </c>
      <c r="J100" s="42">
        <v>235</v>
      </c>
      <c r="K100" s="43" t="s">
        <v>164</v>
      </c>
      <c r="L100" s="67"/>
      <c r="M100" s="67"/>
      <c r="N100" s="67"/>
      <c r="O100" s="67"/>
      <c r="P100" s="67"/>
      <c r="Q100" s="67"/>
      <c r="R100" s="67"/>
      <c r="S100" s="47"/>
      <c r="T100" s="47"/>
      <c r="U100" s="47"/>
      <c r="V100" s="84" t="s">
        <v>167</v>
      </c>
      <c r="W100" s="85"/>
      <c r="X100" s="85">
        <v>1</v>
      </c>
      <c r="Y100" s="84" t="s">
        <v>168</v>
      </c>
      <c r="Z100" s="86" t="s">
        <v>166</v>
      </c>
      <c r="AA100" s="81"/>
      <c r="AB100" s="46"/>
      <c r="AC100" s="77" t="s">
        <v>169</v>
      </c>
      <c r="AD100" s="81">
        <v>8</v>
      </c>
      <c r="AE100" s="44"/>
      <c r="AF100" s="32"/>
      <c r="AG100" s="26"/>
      <c r="AH100" s="26"/>
      <c r="AI100" s="24" t="s">
        <v>170</v>
      </c>
      <c r="AJ100" s="79"/>
      <c r="AK100" s="59">
        <v>800</v>
      </c>
      <c r="AL100" s="87">
        <f t="shared" ref="AL100:AL101" si="28">AD100*AK100</f>
        <v>6400</v>
      </c>
      <c r="AM100" s="88" t="s">
        <v>173</v>
      </c>
      <c r="AN100" s="66"/>
      <c r="AO100" s="70"/>
      <c r="AP100" s="67"/>
      <c r="AQ100" s="68"/>
      <c r="AR100" s="57"/>
      <c r="AS100" s="57"/>
      <c r="AT100" s="61">
        <v>6000</v>
      </c>
      <c r="AU100" s="61">
        <f t="shared" si="26"/>
        <v>0</v>
      </c>
      <c r="AV100" s="49" t="s">
        <v>175</v>
      </c>
      <c r="AW100" s="76"/>
      <c r="AX100" s="76"/>
      <c r="AY100" s="41"/>
      <c r="AZ100" s="29"/>
      <c r="BA100" s="35"/>
      <c r="BB100" s="58">
        <v>46298</v>
      </c>
      <c r="BC100" s="39" t="s">
        <v>147</v>
      </c>
      <c r="BD100" s="22" t="s">
        <v>165</v>
      </c>
    </row>
    <row r="101" spans="1:56" ht="13" x14ac:dyDescent="0.3">
      <c r="A101" s="26"/>
      <c r="B101" s="26">
        <v>1</v>
      </c>
      <c r="C101" s="26"/>
      <c r="D101" s="27"/>
      <c r="E101" s="26"/>
      <c r="F101" s="40">
        <v>46297</v>
      </c>
      <c r="G101" s="41">
        <v>1</v>
      </c>
      <c r="H101" s="42">
        <v>309</v>
      </c>
      <c r="I101" s="42" t="s">
        <v>87</v>
      </c>
      <c r="J101" s="42">
        <v>235</v>
      </c>
      <c r="K101" s="43" t="s">
        <v>164</v>
      </c>
      <c r="L101" s="67"/>
      <c r="M101" s="67"/>
      <c r="N101" s="67"/>
      <c r="O101" s="67"/>
      <c r="P101" s="67"/>
      <c r="Q101" s="67"/>
      <c r="R101" s="67"/>
      <c r="S101" s="47"/>
      <c r="T101" s="47"/>
      <c r="U101" s="47"/>
      <c r="V101" s="84" t="s">
        <v>171</v>
      </c>
      <c r="W101" s="85"/>
      <c r="X101" s="85">
        <v>1</v>
      </c>
      <c r="Y101" s="84" t="s">
        <v>168</v>
      </c>
      <c r="Z101" s="86" t="s">
        <v>172</v>
      </c>
      <c r="AA101" s="81"/>
      <c r="AB101" s="46"/>
      <c r="AC101" s="77" t="s">
        <v>169</v>
      </c>
      <c r="AD101" s="81">
        <v>1</v>
      </c>
      <c r="AE101" s="44"/>
      <c r="AF101" s="32"/>
      <c r="AG101" s="26"/>
      <c r="AH101" s="26"/>
      <c r="AI101" s="24" t="s">
        <v>170</v>
      </c>
      <c r="AJ101" s="79"/>
      <c r="AK101" s="59">
        <v>800</v>
      </c>
      <c r="AL101" s="87">
        <f t="shared" si="28"/>
        <v>800</v>
      </c>
      <c r="AM101" s="88" t="s">
        <v>173</v>
      </c>
      <c r="AN101" s="66"/>
      <c r="AO101" s="70"/>
      <c r="AP101" s="67"/>
      <c r="AQ101" s="68"/>
      <c r="AR101" s="57"/>
      <c r="AS101" s="57"/>
      <c r="AT101" s="61">
        <v>6000</v>
      </c>
      <c r="AU101" s="61">
        <f t="shared" si="26"/>
        <v>0</v>
      </c>
      <c r="AV101" s="49" t="s">
        <v>174</v>
      </c>
      <c r="AW101" s="76"/>
      <c r="AX101" s="76"/>
      <c r="AY101" s="41"/>
      <c r="AZ101" s="29"/>
      <c r="BA101" s="35"/>
      <c r="BB101" s="58">
        <v>46298</v>
      </c>
      <c r="BC101" s="39" t="s">
        <v>147</v>
      </c>
      <c r="BD101" s="22" t="s">
        <v>165</v>
      </c>
    </row>
    <row r="102" spans="1:56" ht="13" x14ac:dyDescent="0.3">
      <c r="A102" s="91"/>
      <c r="B102" s="91">
        <v>1</v>
      </c>
      <c r="C102" s="91"/>
      <c r="D102" s="92"/>
      <c r="E102" s="91"/>
      <c r="F102" s="93">
        <v>46297</v>
      </c>
      <c r="G102" s="94">
        <v>1</v>
      </c>
      <c r="H102" s="95">
        <v>309</v>
      </c>
      <c r="I102" s="95" t="s">
        <v>87</v>
      </c>
      <c r="J102" s="95">
        <v>235</v>
      </c>
      <c r="K102" s="96" t="s">
        <v>164</v>
      </c>
      <c r="L102" s="97"/>
      <c r="M102" s="97"/>
      <c r="N102" s="97"/>
      <c r="O102" s="97"/>
      <c r="P102" s="97"/>
      <c r="Q102" s="97"/>
      <c r="R102" s="97"/>
      <c r="S102" s="98"/>
      <c r="T102" s="98"/>
      <c r="U102" s="98"/>
      <c r="V102" s="99" t="s">
        <v>171</v>
      </c>
      <c r="W102" s="100"/>
      <c r="X102" s="100">
        <v>1</v>
      </c>
      <c r="Y102" s="99" t="s">
        <v>168</v>
      </c>
      <c r="Z102" s="101" t="s">
        <v>172</v>
      </c>
      <c r="AA102" s="102"/>
      <c r="AB102" s="103"/>
      <c r="AC102" s="104" t="s">
        <v>169</v>
      </c>
      <c r="AD102" s="102">
        <v>1</v>
      </c>
      <c r="AE102" s="105"/>
      <c r="AF102" s="106"/>
      <c r="AG102" s="91"/>
      <c r="AH102" s="91"/>
      <c r="AI102" s="107" t="s">
        <v>170</v>
      </c>
      <c r="AJ102" s="108"/>
      <c r="AK102" s="109">
        <v>800</v>
      </c>
      <c r="AL102" s="110">
        <f t="shared" si="27"/>
        <v>800</v>
      </c>
      <c r="AM102" s="111" t="s">
        <v>173</v>
      </c>
      <c r="AN102" s="112"/>
      <c r="AO102" s="113"/>
      <c r="AP102" s="97"/>
      <c r="AQ102" s="114"/>
      <c r="AR102" s="115"/>
      <c r="AS102" s="115"/>
      <c r="AT102" s="116">
        <v>6000</v>
      </c>
      <c r="AU102" s="116">
        <f t="shared" si="26"/>
        <v>0</v>
      </c>
      <c r="AV102" s="117" t="s">
        <v>175</v>
      </c>
      <c r="AW102" s="118"/>
      <c r="AX102" s="118"/>
      <c r="AY102" s="94"/>
      <c r="AZ102" s="119"/>
      <c r="BA102" s="120"/>
      <c r="BB102" s="121">
        <v>46298</v>
      </c>
      <c r="BC102" s="39" t="s">
        <v>147</v>
      </c>
      <c r="BD102" s="122" t="s">
        <v>165</v>
      </c>
    </row>
    <row r="103" spans="1:56" x14ac:dyDescent="0.25">
      <c r="A103" s="123"/>
      <c r="B103" s="123"/>
      <c r="C103" s="124"/>
      <c r="D103" s="82">
        <v>46297</v>
      </c>
      <c r="E103" s="57">
        <v>1</v>
      </c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5" t="s">
        <v>180</v>
      </c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</row>
    <row r="104" spans="1:56" x14ac:dyDescent="0.25">
      <c r="AK104" s="89" t="s">
        <v>181</v>
      </c>
      <c r="AL104" s="90"/>
      <c r="AM104" s="90"/>
      <c r="AR104" s="89" t="s">
        <v>182</v>
      </c>
      <c r="AS104" s="90"/>
      <c r="AT104" s="90"/>
      <c r="AU104" s="90"/>
    </row>
  </sheetData>
  <mergeCells count="2">
    <mergeCell ref="AK104:AM104"/>
    <mergeCell ref="AR104:AU104"/>
  </mergeCells>
  <dataValidations count="2">
    <dataValidation type="custom" allowBlank="1" showDropDown="1" sqref="D11:D18 F11:F18 AW11:AX18 BA11:BA18 AW29:AX41 F29:F41 AW82:AX102 BA29:BA41 BA47:BA62 D29:D41 F47:F62 AW47:AX62 BA68:BA77 F68:F77 AW68:AX77 D47:D62 F82:F102 D82:D103 BA82:BA102 D68:D77">
      <formula1>OR(NOT(ISERROR(DATEVALUE(D11))), AND(ISNUMBER(D11), LEFT(CELL("format", D11))="D"))</formula1>
    </dataValidation>
    <dataValidation type="custom" allowBlank="1" showDropDown="1" sqref="AM11:AM18 AM29:AM41 AM47:AM62 AM68:AM77 AM82:AM102">
      <formula1>AND(ISNUMBER(AM11),(NOT(OR(NOT(ISERROR(DATEVALUE(AM11))), AND(ISNUMBER(AM11), LEFT(CELL("format", AM11))="D")))))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"/>
  <sheetViews>
    <sheetView workbookViewId="0">
      <selection activeCell="B69" sqref="B69"/>
    </sheetView>
  </sheetViews>
  <sheetFormatPr defaultRowHeight="12.5" x14ac:dyDescent="0.25"/>
  <sheetData>
    <row r="1" spans="1:5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1" t="s">
        <v>0</v>
      </c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 t="s">
        <v>3</v>
      </c>
      <c r="T3" s="1"/>
      <c r="U3" s="1"/>
      <c r="V3" s="1"/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/>
      <c r="AI3" s="1"/>
      <c r="AJ3" s="1"/>
      <c r="AK3" s="1" t="s">
        <v>6</v>
      </c>
      <c r="AL3" s="1"/>
      <c r="AM3" s="1"/>
      <c r="AN3" s="1"/>
      <c r="AO3" s="1"/>
      <c r="AP3" s="1"/>
      <c r="AQ3" s="1"/>
      <c r="AR3" s="1" t="s">
        <v>7</v>
      </c>
      <c r="AS3" s="1"/>
      <c r="AT3" s="1"/>
      <c r="AU3" s="1"/>
      <c r="AV3" s="1" t="s">
        <v>8</v>
      </c>
      <c r="AW3" s="1"/>
      <c r="AX3" s="1"/>
      <c r="AY3" s="1"/>
      <c r="AZ3" s="1"/>
      <c r="BA3" s="1"/>
      <c r="BB3" s="1"/>
      <c r="BC3" s="1" t="s">
        <v>9</v>
      </c>
      <c r="BD3" s="1"/>
    </row>
    <row r="4" spans="1:5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1" t="s">
        <v>45</v>
      </c>
      <c r="AK4" s="1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1" t="s">
        <v>57</v>
      </c>
      <c r="AW4" s="1" t="s">
        <v>58</v>
      </c>
      <c r="AX4" s="1" t="s">
        <v>59</v>
      </c>
      <c r="AY4" s="1" t="s">
        <v>60</v>
      </c>
      <c r="AZ4" s="1" t="s">
        <v>61</v>
      </c>
      <c r="BA4" s="1" t="s">
        <v>62</v>
      </c>
      <c r="BB4" s="1" t="s">
        <v>63</v>
      </c>
      <c r="BC4" s="1" t="s">
        <v>64</v>
      </c>
      <c r="BD4" s="1" t="s">
        <v>65</v>
      </c>
    </row>
    <row r="5" spans="1:56" x14ac:dyDescent="0.25"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H5" s="1" t="s">
        <v>80</v>
      </c>
      <c r="AI5" s="1" t="s">
        <v>81</v>
      </c>
      <c r="AL5" s="1"/>
      <c r="AM5" s="1" t="s">
        <v>82</v>
      </c>
      <c r="AN5" s="1"/>
      <c r="AO5" s="1" t="s">
        <v>83</v>
      </c>
      <c r="AS5" s="1"/>
      <c r="AV5" s="1" t="s">
        <v>84</v>
      </c>
    </row>
    <row r="6" spans="1:56" x14ac:dyDescent="0.25">
      <c r="I6" s="1" t="s">
        <v>66</v>
      </c>
      <c r="J6" s="1" t="s">
        <v>85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Z6" s="1" t="s">
        <v>76</v>
      </c>
      <c r="AA6" s="1" t="s">
        <v>77</v>
      </c>
      <c r="AB6" s="1" t="s">
        <v>78</v>
      </c>
      <c r="AC6" s="1" t="s">
        <v>79</v>
      </c>
      <c r="AH6" s="1" t="s">
        <v>80</v>
      </c>
      <c r="AI6" s="1" t="s">
        <v>81</v>
      </c>
      <c r="AM6" s="1" t="s">
        <v>82</v>
      </c>
      <c r="AO6" s="1" t="s">
        <v>83</v>
      </c>
      <c r="AV6" s="1" t="s">
        <v>84</v>
      </c>
    </row>
    <row r="7" spans="1:56" x14ac:dyDescent="0.25">
      <c r="I7" s="1" t="s">
        <v>66</v>
      </c>
      <c r="J7" s="1" t="s">
        <v>86</v>
      </c>
      <c r="K7" s="1" t="s">
        <v>68</v>
      </c>
      <c r="L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  <c r="R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H7" s="1" t="s">
        <v>80</v>
      </c>
      <c r="AI7" s="1" t="s">
        <v>81</v>
      </c>
      <c r="AM7" s="1" t="s">
        <v>82</v>
      </c>
      <c r="AO7" s="1" t="s">
        <v>83</v>
      </c>
      <c r="AV7" s="1" t="s">
        <v>84</v>
      </c>
    </row>
    <row r="8" spans="1:56" ht="15.75" customHeight="1" x14ac:dyDescent="0.25"/>
    <row r="9" spans="1:5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modified xsi:type="dcterms:W3CDTF">2026-10-07T18:57:39Z</dcterms:modified>
</cp:coreProperties>
</file>